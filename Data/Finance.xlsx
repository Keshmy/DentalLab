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7dbd0625c1a2964/dental lab (1)/"/>
    </mc:Choice>
  </mc:AlternateContent>
  <xr:revisionPtr revIDLastSave="19" documentId="13_ncr:1_{CEAE071A-3C72-4A2B-8649-6325756BECB9}" xr6:coauthVersionLast="47" xr6:coauthVersionMax="47" xr10:uidLastSave="{731E5E5C-24B2-524C-AB7F-BCC2C3E8F985}"/>
  <bookViews>
    <workbookView xWindow="-108" yWindow="-108" windowWidth="23256" windowHeight="13896" firstSheet="1" activeTab="1" xr2:uid="{00000000-000D-0000-FFFF-FFFF00000000}"/>
  </bookViews>
  <sheets>
    <sheet name="2025" sheetId="1" r:id="rId1"/>
    <sheet name="2026" sheetId="2" r:id="rId2"/>
    <sheet name="Sheet1" sheetId="3" r:id="rId3"/>
  </sheets>
  <definedNames>
    <definedName name="_xlnm._FilterDatabase" localSheetId="1" hidden="1">'2026'!$E$1:$J$36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2" l="1"/>
  <c r="I64" i="2"/>
  <c r="I37" i="2"/>
  <c r="C37" i="2"/>
  <c r="L3" i="2"/>
  <c r="L8" i="2"/>
  <c r="L1" i="2"/>
  <c r="L13" i="2"/>
  <c r="C23" i="2"/>
  <c r="I31" i="2"/>
  <c r="I16" i="2"/>
  <c r="I2" i="2"/>
  <c r="I19" i="2"/>
  <c r="I23" i="2"/>
  <c r="C19" i="2"/>
  <c r="C16" i="2"/>
  <c r="C2" i="2"/>
  <c r="D17" i="1"/>
  <c r="D15" i="1"/>
  <c r="J2" i="1"/>
  <c r="I2" i="1"/>
  <c r="K2" i="1"/>
</calcChain>
</file>

<file path=xl/sharedStrings.xml><?xml version="1.0" encoding="utf-8"?>
<sst xmlns="http://schemas.openxmlformats.org/spreadsheetml/2006/main" count="276" uniqueCount="164">
  <si>
    <t xml:space="preserve">مصاريف </t>
  </si>
  <si>
    <t xml:space="preserve">ايرادات </t>
  </si>
  <si>
    <t>مجموع الايرادات الكلي</t>
  </si>
  <si>
    <t>مجموع المصاريف الكلي</t>
  </si>
  <si>
    <t xml:space="preserve"> الصافي </t>
  </si>
  <si>
    <t xml:space="preserve">مصاريف معمل </t>
  </si>
  <si>
    <t>شهر 7-10 سنة 2025</t>
  </si>
  <si>
    <t>حوالة</t>
  </si>
  <si>
    <t>عيادة ايرولا</t>
  </si>
  <si>
    <t>شهر 9</t>
  </si>
  <si>
    <r>
      <t xml:space="preserve">مواد المعمل  </t>
    </r>
    <r>
      <rPr>
        <sz val="11"/>
        <color rgb="FFFF0000"/>
        <rFont val="Calibri"/>
        <family val="2"/>
        <scheme val="minor"/>
      </rPr>
      <t>1</t>
    </r>
  </si>
  <si>
    <t>كاش</t>
  </si>
  <si>
    <t>دكتور وليد</t>
  </si>
  <si>
    <r>
      <t xml:space="preserve">مواد المعمل </t>
    </r>
    <r>
      <rPr>
        <sz val="11"/>
        <color rgb="FFFF0000"/>
        <rFont val="Calibri"/>
        <family val="2"/>
        <scheme val="minor"/>
      </rPr>
      <t>2</t>
    </r>
  </si>
  <si>
    <t>عيادة ابرولا</t>
  </si>
  <si>
    <t>شهر 10</t>
  </si>
  <si>
    <r>
      <t xml:space="preserve">مواد المعمل </t>
    </r>
    <r>
      <rPr>
        <sz val="11"/>
        <color rgb="FFFF0000"/>
        <rFont val="Calibri"/>
        <family val="2"/>
        <scheme val="minor"/>
      </rPr>
      <t>3</t>
    </r>
  </si>
  <si>
    <t xml:space="preserve">حوالة </t>
  </si>
  <si>
    <t>شهر 11</t>
  </si>
  <si>
    <r>
      <t xml:space="preserve">مواد المعمل </t>
    </r>
    <r>
      <rPr>
        <sz val="11"/>
        <color rgb="FFFF0000"/>
        <rFont val="Calibri"/>
        <family val="2"/>
        <scheme val="minor"/>
      </rPr>
      <t>4</t>
    </r>
  </si>
  <si>
    <t>شهر 12</t>
  </si>
  <si>
    <r>
      <t xml:space="preserve">مواد المعمل </t>
    </r>
    <r>
      <rPr>
        <sz val="11"/>
        <color rgb="FFFF0000"/>
        <rFont val="Calibri"/>
        <family val="2"/>
        <scheme val="minor"/>
      </rPr>
      <t>5</t>
    </r>
  </si>
  <si>
    <r>
      <t xml:space="preserve">مواد المعمل </t>
    </r>
    <r>
      <rPr>
        <sz val="11"/>
        <color rgb="FFFF0000"/>
        <rFont val="Calibri"/>
        <family val="2"/>
        <scheme val="minor"/>
      </rPr>
      <t>6</t>
    </r>
  </si>
  <si>
    <r>
      <t xml:space="preserve">مواد المعمل </t>
    </r>
    <r>
      <rPr>
        <sz val="11"/>
        <color rgb="FFFF0000"/>
        <rFont val="Calibri"/>
        <family val="2"/>
        <scheme val="minor"/>
      </rPr>
      <t>7</t>
    </r>
  </si>
  <si>
    <t xml:space="preserve">مواد تنظيف </t>
  </si>
  <si>
    <r>
      <t xml:space="preserve">معمل بايونير </t>
    </r>
    <r>
      <rPr>
        <sz val="11"/>
        <color rgb="FFFF0000"/>
        <rFont val="Calibri"/>
        <family val="2"/>
        <scheme val="minor"/>
      </rPr>
      <t>10</t>
    </r>
  </si>
  <si>
    <r>
      <t xml:space="preserve">معمل بايونير </t>
    </r>
    <r>
      <rPr>
        <sz val="11"/>
        <color rgb="FFFF0000"/>
        <rFont val="Calibri"/>
        <family val="2"/>
        <scheme val="minor"/>
      </rPr>
      <t>14</t>
    </r>
  </si>
  <si>
    <t>كروت نت</t>
  </si>
  <si>
    <t>كرت نت</t>
  </si>
  <si>
    <t>شهر 11 - 12 سنة 2025</t>
  </si>
  <si>
    <t xml:space="preserve">مجموع مصاريف </t>
  </si>
  <si>
    <t>مواد فرش + حامتلات الوان</t>
  </si>
  <si>
    <r>
      <t xml:space="preserve">مواد تنظيف </t>
    </r>
    <r>
      <rPr>
        <sz val="11"/>
        <color rgb="FFFF0000"/>
        <rFont val="Calibri"/>
        <family val="2"/>
        <scheme val="minor"/>
      </rPr>
      <t>15</t>
    </r>
  </si>
  <si>
    <t>مجموع ايرادات</t>
  </si>
  <si>
    <r>
      <t xml:space="preserve">احتياجات معمل </t>
    </r>
    <r>
      <rPr>
        <sz val="11"/>
        <color rgb="FFFF0000"/>
        <rFont val="Calibri"/>
        <family val="2"/>
        <scheme val="minor"/>
      </rPr>
      <t>16</t>
    </r>
  </si>
  <si>
    <r>
      <t xml:space="preserve">ادوات تجهيز  للماكينة </t>
    </r>
    <r>
      <rPr>
        <sz val="11"/>
        <color rgb="FFFF0000"/>
        <rFont val="Calibri"/>
        <family val="2"/>
        <scheme val="minor"/>
      </rPr>
      <t>17</t>
    </r>
  </si>
  <si>
    <t>نقل ماكينة</t>
  </si>
  <si>
    <t>فلتر - وصلات للماكينة</t>
  </si>
  <si>
    <t>نقل كمبراسوري</t>
  </si>
  <si>
    <r>
      <t xml:space="preserve">معمل بايونير  </t>
    </r>
    <r>
      <rPr>
        <sz val="11"/>
        <color rgb="FFFF0000"/>
        <rFont val="Calibri"/>
        <family val="2"/>
        <scheme val="minor"/>
      </rPr>
      <t>18</t>
    </r>
  </si>
  <si>
    <t>المصاريف</t>
  </si>
  <si>
    <t>البيان</t>
  </si>
  <si>
    <t>المجموع</t>
  </si>
  <si>
    <t>ملاحظات</t>
  </si>
  <si>
    <t>الشهر</t>
  </si>
  <si>
    <t>الديون</t>
  </si>
  <si>
    <t xml:space="preserve"> مستلزمات الفرازة 19</t>
  </si>
  <si>
    <t xml:space="preserve">باقي 2025 </t>
  </si>
  <si>
    <t>حساب عبدو</t>
  </si>
  <si>
    <t>تم الاستلام</t>
  </si>
  <si>
    <t>شهر 1 - 26</t>
  </si>
  <si>
    <t xml:space="preserve"> مستلزمات فرازة 20</t>
  </si>
  <si>
    <t>فاتورة ايار يناير 25</t>
  </si>
  <si>
    <t xml:space="preserve"> ملحقات الكترونية للمعمل 21</t>
  </si>
  <si>
    <t>فاتورة ايرولا يناير 25</t>
  </si>
  <si>
    <t xml:space="preserve"> ملحقات الكترونية 22</t>
  </si>
  <si>
    <t xml:space="preserve">كروت نت </t>
  </si>
  <si>
    <t xml:space="preserve"> مواد معمل 23</t>
  </si>
  <si>
    <t xml:space="preserve"> رنق  24</t>
  </si>
  <si>
    <t xml:space="preserve"> مواد معمل 25</t>
  </si>
  <si>
    <t xml:space="preserve"> مواد للمعمل  26</t>
  </si>
  <si>
    <t xml:space="preserve"> مواد كهربائية  27</t>
  </si>
  <si>
    <t xml:space="preserve"> اكياس</t>
  </si>
  <si>
    <t xml:space="preserve"> صيانة فلتر </t>
  </si>
  <si>
    <t>فاتورة بايونير</t>
  </si>
  <si>
    <t xml:space="preserve"> مواد كهربائية  28</t>
  </si>
  <si>
    <t xml:space="preserve">29 - vacum splint </t>
  </si>
  <si>
    <t>ايرولا فبراير 26</t>
  </si>
  <si>
    <t>شهر 2 - 26</t>
  </si>
  <si>
    <t xml:space="preserve">حساب شمال افريقيا - </t>
  </si>
  <si>
    <t>ايار فبراير 26</t>
  </si>
  <si>
    <t>حمادي فبراير 26</t>
  </si>
  <si>
    <t>حساب عادل</t>
  </si>
  <si>
    <t>بلكات لمحمد جبريل</t>
  </si>
  <si>
    <t xml:space="preserve">ايار </t>
  </si>
  <si>
    <t>شهر 3 - 26</t>
  </si>
  <si>
    <t xml:space="preserve"> كروت نت</t>
  </si>
  <si>
    <t xml:space="preserve">ايرولا </t>
  </si>
  <si>
    <t xml:space="preserve">حمادي </t>
  </si>
  <si>
    <t xml:space="preserve">النور الكبرى الخمس </t>
  </si>
  <si>
    <t xml:space="preserve">تغيير  اسطوانات اكسجين </t>
  </si>
  <si>
    <t>صلاح الهاشمي</t>
  </si>
  <si>
    <t>شهر 4 - 26</t>
  </si>
  <si>
    <t>مطهر</t>
  </si>
  <si>
    <t>هيثم الطوير</t>
  </si>
  <si>
    <t>مركز ايار</t>
  </si>
  <si>
    <t xml:space="preserve"> ssd- راوتر نت</t>
  </si>
  <si>
    <t>مركز حمادي</t>
  </si>
  <si>
    <t xml:space="preserve">كحول طبي </t>
  </si>
  <si>
    <t>فاتورة المعشب قديمة</t>
  </si>
  <si>
    <r>
      <rPr>
        <sz val="11"/>
        <color rgb="FFFF0000"/>
        <rFont val="Calibri"/>
        <family val="2"/>
        <scheme val="minor"/>
      </rPr>
      <t xml:space="preserve"> فاتورة 12| 13</t>
    </r>
    <r>
      <rPr>
        <sz val="11"/>
        <color rgb="FF9C5700"/>
        <rFont val="Calibri"/>
        <family val="2"/>
        <scheme val="minor"/>
      </rPr>
      <t xml:space="preserve">  / صيانة قديمة 2025</t>
    </r>
  </si>
  <si>
    <t>كرت شاشه - رامات لكمبيوتر المعمل</t>
  </si>
  <si>
    <t xml:space="preserve">كرت نت </t>
  </si>
  <si>
    <t>مركز المجد شهر 4 و 5</t>
  </si>
  <si>
    <t>شهر 5 - 26</t>
  </si>
  <si>
    <t>صيانة كمبيوتر التصميم</t>
  </si>
  <si>
    <t>/700</t>
  </si>
  <si>
    <r>
      <t xml:space="preserve">كشف ماكينة سنترفيوج - </t>
    </r>
    <r>
      <rPr>
        <sz val="11"/>
        <color rgb="FFFF0000"/>
        <rFont val="Calibri"/>
        <family val="2"/>
        <scheme val="minor"/>
      </rPr>
      <t>عياد</t>
    </r>
  </si>
  <si>
    <t>190/</t>
  </si>
  <si>
    <t xml:space="preserve">حوض المطبخ </t>
  </si>
  <si>
    <t>مركز اياب شهر 5</t>
  </si>
  <si>
    <r>
      <t xml:space="preserve">فاتورة بايونير </t>
    </r>
    <r>
      <rPr>
        <sz val="11"/>
        <color rgb="FFFF0000"/>
        <rFont val="Calibri"/>
        <family val="2"/>
        <scheme val="minor"/>
      </rPr>
      <t>31</t>
    </r>
  </si>
  <si>
    <t>مركز ايار شهر 5</t>
  </si>
  <si>
    <t>120/</t>
  </si>
  <si>
    <t xml:space="preserve">صمامات الرمالة </t>
  </si>
  <si>
    <r>
      <t xml:space="preserve">مواد للمعمل </t>
    </r>
    <r>
      <rPr>
        <sz val="11"/>
        <color rgb="FFFF0000"/>
        <rFont val="Calibri"/>
        <family val="2"/>
        <scheme val="minor"/>
      </rPr>
      <t>30</t>
    </r>
  </si>
  <si>
    <t>مركز الماسة شهر 4 - 5 -6 سنة 2026</t>
  </si>
  <si>
    <t>شهر 6 - 26</t>
  </si>
  <si>
    <t>1550/</t>
  </si>
  <si>
    <t>قطع غيار السنترفيوج</t>
  </si>
  <si>
    <t>مركز أيار شهر 6 2026</t>
  </si>
  <si>
    <t>مركز اياب شهر  6 - 2026</t>
  </si>
  <si>
    <r>
      <t xml:space="preserve">بلكات </t>
    </r>
    <r>
      <rPr>
        <sz val="11"/>
        <color rgb="FFFF0000"/>
        <rFont val="Calibri"/>
        <family val="2"/>
        <scheme val="minor"/>
      </rPr>
      <t>32</t>
    </r>
  </si>
  <si>
    <t>عمولة حساب شمال افريقيا</t>
  </si>
  <si>
    <r>
      <t xml:space="preserve">فاتورة بلكات و بيرات </t>
    </r>
    <r>
      <rPr>
        <sz val="11"/>
        <color rgb="FFFF0000"/>
        <rFont val="Calibri"/>
        <family val="2"/>
        <scheme val="minor"/>
      </rPr>
      <t>33</t>
    </r>
  </si>
  <si>
    <r>
      <t xml:space="preserve">بلكات لمحمد جبريل - </t>
    </r>
    <r>
      <rPr>
        <sz val="11"/>
        <color rgb="FFFF0000"/>
        <rFont val="Calibri"/>
        <family val="2"/>
        <scheme val="minor"/>
      </rPr>
      <t>اخر قسط</t>
    </r>
  </si>
  <si>
    <t>مركز المجد شهر 6 و 7 - 2026</t>
  </si>
  <si>
    <t>شهر 7 - 26</t>
  </si>
  <si>
    <t xml:space="preserve">سلسبيل ابو كتف </t>
  </si>
  <si>
    <t>دين على عادل</t>
  </si>
  <si>
    <t xml:space="preserve">مركز اياب </t>
  </si>
  <si>
    <r>
      <t xml:space="preserve">فاتورة بلكات اويا </t>
    </r>
    <r>
      <rPr>
        <sz val="11"/>
        <color rgb="FFFF0000"/>
        <rFont val="Calibri"/>
        <family val="2"/>
        <scheme val="minor"/>
      </rPr>
      <t>34</t>
    </r>
  </si>
  <si>
    <r>
      <t xml:space="preserve">مستلزمات كهربائية </t>
    </r>
    <r>
      <rPr>
        <sz val="11"/>
        <color rgb="FFFF0000"/>
        <rFont val="Calibri"/>
        <family val="2"/>
        <scheme val="minor"/>
      </rPr>
      <t>35</t>
    </r>
  </si>
  <si>
    <t>مركز حمادي شهر 6 و 7</t>
  </si>
  <si>
    <r>
      <t xml:space="preserve">بطاريات للنت و الكاميرا </t>
    </r>
    <r>
      <rPr>
        <sz val="11"/>
        <color rgb="FFFF0000"/>
        <rFont val="Calibri"/>
        <family val="2"/>
        <scheme val="minor"/>
      </rPr>
      <t>36</t>
    </r>
  </si>
  <si>
    <t>مركز الماسة</t>
  </si>
  <si>
    <t>نسبة عياد</t>
  </si>
  <si>
    <t xml:space="preserve">سحر السيد </t>
  </si>
  <si>
    <t>نسبة عياد من المواد المتبقية</t>
  </si>
  <si>
    <t>مدين لعياد نسبته من المواد المتبقية</t>
  </si>
  <si>
    <t xml:space="preserve">مكافأة عبد الرحيم </t>
  </si>
  <si>
    <r>
      <t xml:space="preserve">فاتورة بلكات </t>
    </r>
    <r>
      <rPr>
        <sz val="11"/>
        <color rgb="FFFF0000"/>
        <rFont val="Calibri"/>
        <family val="2"/>
        <scheme val="minor"/>
      </rPr>
      <t>37</t>
    </r>
  </si>
  <si>
    <t>اكياس</t>
  </si>
  <si>
    <r>
      <t xml:space="preserve">  ميموري 128      </t>
    </r>
    <r>
      <rPr>
        <sz val="11"/>
        <color rgb="FFFF0000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</si>
  <si>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مطول   </t>
    </r>
    <r>
      <rPr>
        <sz val="11"/>
        <color rgb="FFFF0000"/>
        <rFont val="Calibri"/>
        <family val="2"/>
        <scheme val="minor"/>
      </rPr>
      <t>39</t>
    </r>
  </si>
  <si>
    <t>فاتورة بايونير شهر 6</t>
  </si>
  <si>
    <t>سبيكرا</t>
  </si>
  <si>
    <t>خدمات sms للحساب</t>
  </si>
  <si>
    <t>ايجار المعمل</t>
  </si>
  <si>
    <t xml:space="preserve"> كاش 3490 عند عادل</t>
  </si>
  <si>
    <t>\95</t>
  </si>
  <si>
    <t>بلكات من اسلم</t>
  </si>
  <si>
    <r>
      <t xml:space="preserve"> </t>
    </r>
    <r>
      <rPr>
        <sz val="11"/>
        <color rgb="FFFF0000"/>
        <rFont val="Calibri"/>
        <family val="2"/>
        <scheme val="minor"/>
      </rPr>
      <t xml:space="preserve"> 40 </t>
    </r>
    <r>
      <rPr>
        <sz val="11"/>
        <color theme="1"/>
        <rFont val="Calibri"/>
        <family val="2"/>
        <scheme val="minor"/>
      </rPr>
      <t>moldastone من اويا</t>
    </r>
  </si>
  <si>
    <t>نسيم الصحة</t>
  </si>
  <si>
    <t>الحمادي</t>
  </si>
  <si>
    <t>شهر 8 2026</t>
  </si>
  <si>
    <t>\240</t>
  </si>
  <si>
    <t>260\</t>
  </si>
  <si>
    <t>بيوتي</t>
  </si>
  <si>
    <t>إياب</t>
  </si>
  <si>
    <t>المجد</t>
  </si>
  <si>
    <t xml:space="preserve"> قيمة اللابتوب متاع الميلينق - محمد</t>
  </si>
  <si>
    <t>585/</t>
  </si>
  <si>
    <t>فاتورة بايونير 41</t>
  </si>
  <si>
    <t>الماسة</t>
  </si>
  <si>
    <t>عمولة شحن دولار للبلندر</t>
  </si>
  <si>
    <t>120\</t>
  </si>
  <si>
    <t>500\</t>
  </si>
  <si>
    <t>عمولة تحويل</t>
  </si>
  <si>
    <t>جزء من قيمة اليو بي اس</t>
  </si>
  <si>
    <t>1000$</t>
  </si>
  <si>
    <t>اخر دفعة لجهاز UP3D (بلعم)</t>
  </si>
  <si>
    <t>مكافأة  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</si>
</sst>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7" tint="0.39997558519241921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5" borderId="0" applyNumberFormat="0" applyBorder="0" applyAlignment="0" applyProtection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9" borderId="0" xfId="0" applyFont="1" applyFill="1"/>
    <xf numFmtId="0" fontId="0" fillId="9" borderId="1" xfId="0" applyFill="1" applyBorder="1"/>
    <xf numFmtId="0" fontId="5" fillId="5" borderId="8" xfId="2" applyFont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3" fillId="11" borderId="12" xfId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5" fillId="5" borderId="15" xfId="2" applyFont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6" xfId="0" applyNumberFormat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/>
    </xf>
    <xf numFmtId="164" fontId="0" fillId="11" borderId="6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9" xfId="0" applyFill="1" applyBorder="1"/>
    <xf numFmtId="164" fontId="6" fillId="5" borderId="10" xfId="2" applyNumberFormat="1" applyFont="1" applyBorder="1" applyAlignment="1">
      <alignment horizontal="center" wrapText="1"/>
    </xf>
    <xf numFmtId="164" fontId="0" fillId="11" borderId="6" xfId="0" applyNumberFormat="1" applyFill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164" fontId="0" fillId="0" borderId="9" xfId="0" applyNumberFormat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12" xfId="0" applyNumberFormat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/>
    </xf>
    <xf numFmtId="0" fontId="0" fillId="9" borderId="3" xfId="0" applyFill="1" applyBorder="1"/>
    <xf numFmtId="164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164" fontId="0" fillId="11" borderId="11" xfId="0" applyNumberFormat="1" applyFill="1" applyBorder="1" applyAlignment="1">
      <alignment horizontal="center" vertical="center"/>
    </xf>
    <xf numFmtId="0" fontId="3" fillId="11" borderId="11" xfId="1" applyFill="1" applyBorder="1" applyAlignment="1">
      <alignment horizontal="center" vertical="center" wrapText="1"/>
    </xf>
    <xf numFmtId="164" fontId="0" fillId="11" borderId="11" xfId="0" applyNumberFormat="1" applyFill="1" applyBorder="1" applyAlignment="1">
      <alignment horizontal="center" wrapText="1"/>
    </xf>
    <xf numFmtId="0" fontId="0" fillId="11" borderId="11" xfId="0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4" fontId="0" fillId="11" borderId="12" xfId="0" applyNumberFormat="1" applyFill="1" applyBorder="1" applyAlignment="1">
      <alignment horizontal="center" wrapText="1"/>
    </xf>
    <xf numFmtId="0" fontId="0" fillId="11" borderId="12" xfId="0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164" fontId="0" fillId="11" borderId="9" xfId="0" applyNumberFormat="1" applyFill="1" applyBorder="1" applyAlignment="1">
      <alignment horizontal="center" wrapText="1"/>
    </xf>
    <xf numFmtId="0" fontId="7" fillId="11" borderId="9" xfId="0" applyFont="1" applyFill="1" applyBorder="1" applyAlignment="1">
      <alignment horizontal="center" vertical="center" wrapText="1"/>
    </xf>
    <xf numFmtId="0" fontId="0" fillId="9" borderId="11" xfId="0" applyFill="1" applyBorder="1"/>
    <xf numFmtId="0" fontId="0" fillId="9" borderId="12" xfId="0" applyFill="1" applyBorder="1"/>
    <xf numFmtId="0" fontId="6" fillId="5" borderId="10" xfId="2" applyFont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1" applyFill="1" applyBorder="1" applyAlignment="1">
      <alignment horizontal="center" vertical="center" wrapText="1"/>
    </xf>
    <xf numFmtId="164" fontId="0" fillId="8" borderId="11" xfId="0" applyNumberFormat="1" applyFill="1" applyBorder="1" applyAlignment="1">
      <alignment horizontal="center" vertical="center"/>
    </xf>
    <xf numFmtId="164" fontId="10" fillId="10" borderId="7" xfId="0" applyNumberFormat="1" applyFont="1" applyFill="1" applyBorder="1" applyAlignment="1">
      <alignment horizontal="center" vertical="center" wrapText="1"/>
    </xf>
    <xf numFmtId="164" fontId="0" fillId="11" borderId="6" xfId="0" applyNumberFormat="1" applyFill="1" applyBorder="1" applyAlignment="1">
      <alignment horizontal="center" vertical="center" wrapText="1"/>
    </xf>
    <xf numFmtId="164" fontId="0" fillId="11" borderId="11" xfId="0" applyNumberFormat="1" applyFill="1" applyBorder="1" applyAlignment="1">
      <alignment horizontal="center" vertical="center" wrapText="1"/>
    </xf>
    <xf numFmtId="164" fontId="0" fillId="0" borderId="5" xfId="0" applyNumberFormat="1" applyBorder="1"/>
    <xf numFmtId="164" fontId="0" fillId="0" borderId="0" xfId="0" applyNumberFormat="1" applyAlignment="1">
      <alignment horizontal="center" vertical="center"/>
    </xf>
    <xf numFmtId="164" fontId="0" fillId="13" borderId="6" xfId="0" applyNumberFormat="1" applyFill="1" applyBorder="1" applyAlignment="1">
      <alignment horizontal="center" vertical="center"/>
    </xf>
    <xf numFmtId="164" fontId="0" fillId="13" borderId="9" xfId="0" applyNumberFormat="1" applyFill="1" applyBorder="1" applyAlignment="1">
      <alignment horizontal="center" vertical="center"/>
    </xf>
    <xf numFmtId="164" fontId="0" fillId="13" borderId="6" xfId="0" applyNumberFormat="1" applyFill="1" applyBorder="1" applyAlignment="1">
      <alignment horizontal="center" vertical="center" wrapText="1"/>
    </xf>
    <xf numFmtId="164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164" fontId="0" fillId="11" borderId="9" xfId="0" applyNumberForma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0" fillId="11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6" xfId="1" applyFill="1" applyBorder="1" applyAlignment="1">
      <alignment horizontal="center" vertical="center" wrapText="1"/>
    </xf>
    <xf numFmtId="0" fontId="3" fillId="0" borderId="9" xfId="1" applyFill="1" applyBorder="1" applyAlignment="1">
      <alignment horizontal="center" vertical="center" wrapText="1"/>
    </xf>
    <xf numFmtId="0" fontId="3" fillId="11" borderId="6" xfId="1" applyFill="1" applyBorder="1" applyAlignment="1">
      <alignment horizontal="center" vertical="center" wrapText="1"/>
    </xf>
    <xf numFmtId="0" fontId="3" fillId="11" borderId="9" xfId="1" applyFill="1" applyBorder="1" applyAlignment="1">
      <alignment horizontal="center" vertical="center" wrapText="1"/>
    </xf>
    <xf numFmtId="0" fontId="3" fillId="4" borderId="6" xfId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164" fontId="0" fillId="0" borderId="17" xfId="0" applyNumberFormat="1" applyBorder="1" applyAlignment="1">
      <alignment horizontal="center" wrapText="1"/>
    </xf>
    <xf numFmtId="164" fontId="0" fillId="0" borderId="18" xfId="0" applyNumberFormat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 wrapText="1"/>
    </xf>
    <xf numFmtId="0" fontId="9" fillId="14" borderId="20" xfId="0" applyFont="1" applyFill="1" applyBorder="1" applyAlignment="1">
      <alignment horizontal="center" vertical="center" wrapText="1"/>
    </xf>
    <xf numFmtId="164" fontId="0" fillId="11" borderId="21" xfId="0" applyNumberFormat="1" applyFill="1" applyBorder="1" applyAlignment="1">
      <alignment horizontal="center" wrapText="1"/>
    </xf>
    <xf numFmtId="0" fontId="0" fillId="11" borderId="21" xfId="0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64" fontId="0" fillId="0" borderId="24" xfId="0" applyNumberFormat="1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11" borderId="16" xfId="0" applyNumberForma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164" fontId="0" fillId="11" borderId="16" xfId="0" applyNumberFormat="1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5" borderId="8" xfId="2" applyFont="1" applyBorder="1" applyAlignment="1">
      <alignment horizontal="center" vertical="center" wrapText="1"/>
    </xf>
    <xf numFmtId="164" fontId="0" fillId="11" borderId="12" xfId="0" applyNumberForma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3" fillId="0" borderId="12" xfId="1" applyNumberFormat="1" applyFill="1" applyBorder="1" applyAlignment="1">
      <alignment horizontal="center" vertical="center" wrapText="1"/>
    </xf>
    <xf numFmtId="0" fontId="3" fillId="0" borderId="6" xfId="1" applyFill="1" applyBorder="1" applyAlignment="1">
      <alignment horizontal="center" vertical="center" wrapText="1"/>
    </xf>
    <xf numFmtId="0" fontId="3" fillId="0" borderId="9" xfId="1" applyFill="1" applyBorder="1" applyAlignment="1">
      <alignment horizontal="center" vertical="center" wrapText="1"/>
    </xf>
    <xf numFmtId="164" fontId="3" fillId="11" borderId="12" xfId="1" applyNumberFormat="1" applyFill="1" applyBorder="1" applyAlignment="1">
      <alignment horizontal="center" vertical="center" wrapText="1"/>
    </xf>
    <xf numFmtId="0" fontId="3" fillId="11" borderId="6" xfId="1" applyFill="1" applyBorder="1" applyAlignment="1">
      <alignment horizontal="center" vertical="center" wrapText="1"/>
    </xf>
    <xf numFmtId="0" fontId="3" fillId="11" borderId="9" xfId="1" applyFill="1" applyBorder="1" applyAlignment="1">
      <alignment horizontal="center" vertical="center" wrapText="1"/>
    </xf>
    <xf numFmtId="164" fontId="3" fillId="4" borderId="6" xfId="1" applyNumberFormat="1" applyFill="1" applyBorder="1" applyAlignment="1">
      <alignment horizontal="center" vertical="center" wrapText="1"/>
    </xf>
    <xf numFmtId="0" fontId="3" fillId="4" borderId="6" xfId="1" applyFill="1" applyBorder="1" applyAlignment="1">
      <alignment horizontal="center" vertical="center" wrapText="1"/>
    </xf>
    <xf numFmtId="0" fontId="3" fillId="4" borderId="9" xfId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11" borderId="13" xfId="0" applyNumberFormat="1" applyFill="1" applyBorder="1" applyAlignment="1">
      <alignment horizontal="center" vertical="center" wrapText="1"/>
    </xf>
    <xf numFmtId="164" fontId="0" fillId="11" borderId="14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1095375</xdr:colOff>
      <xdr:row>13</xdr:row>
      <xdr:rowOff>38100</xdr:rowOff>
    </xdr:from>
    <xdr:to>
      <xdr:col>11</xdr:col>
      <xdr:colOff>1095375</xdr:colOff>
      <xdr:row>13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5303CE-6DEC-2930-121F-EB6F5DC9650B}"/>
            </a:ext>
          </a:extLst>
        </xdr:cNvPr>
        <xdr:cNvCxnSpPr/>
      </xdr:nvCxnSpPr>
      <xdr:spPr>
        <a:xfrm>
          <a:off x="9981276075" y="2686050"/>
          <a:ext cx="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rightToLeft="1" workbookViewId="0">
      <selection activeCell="E3" sqref="E3"/>
    </sheetView>
  </sheetViews>
  <sheetFormatPr defaultRowHeight="15" x14ac:dyDescent="0.2"/>
  <cols>
    <col min="1" max="1" width="24.6171875" customWidth="1"/>
    <col min="2" max="2" width="28.3828125" customWidth="1"/>
    <col min="3" max="3" width="11.56640625" customWidth="1"/>
    <col min="4" max="4" width="31.07421875" customWidth="1"/>
    <col min="5" max="5" width="34.16796875" customWidth="1"/>
    <col min="6" max="6" width="22.59765625" customWidth="1"/>
    <col min="7" max="7" width="27.44140625" customWidth="1"/>
    <col min="8" max="8" width="17.62109375" customWidth="1"/>
    <col min="9" max="9" width="16.41015625" customWidth="1"/>
    <col min="10" max="10" width="17.08203125" customWidth="1"/>
    <col min="11" max="11" width="20.58203125" customWidth="1"/>
  </cols>
  <sheetData>
    <row r="1" spans="1:11" ht="23.25" x14ac:dyDescent="0.3">
      <c r="A1" s="2" t="s">
        <v>0</v>
      </c>
      <c r="B1" s="1"/>
      <c r="C1" s="1"/>
      <c r="D1" s="1"/>
      <c r="E1" s="1" t="s">
        <v>1</v>
      </c>
      <c r="F1" s="1"/>
      <c r="I1" s="3" t="s">
        <v>2</v>
      </c>
      <c r="J1" s="3" t="s">
        <v>3</v>
      </c>
      <c r="K1" s="3" t="s">
        <v>4</v>
      </c>
    </row>
    <row r="2" spans="1:11" x14ac:dyDescent="0.2">
      <c r="A2" s="3">
        <v>270</v>
      </c>
      <c r="B2" s="3" t="s">
        <v>5</v>
      </c>
      <c r="C2" s="123" t="s">
        <v>6</v>
      </c>
      <c r="E2">
        <v>3020</v>
      </c>
      <c r="F2" t="s">
        <v>7</v>
      </c>
      <c r="G2" t="s">
        <v>8</v>
      </c>
      <c r="H2" t="s">
        <v>9</v>
      </c>
      <c r="I2">
        <f>SUM(E:E)</f>
        <v>17040</v>
      </c>
      <c r="J2">
        <f>SUM(A:A)</f>
        <v>16830</v>
      </c>
      <c r="K2" s="7">
        <f>I2-J2</f>
        <v>210</v>
      </c>
    </row>
    <row r="3" spans="1:11" x14ac:dyDescent="0.2">
      <c r="A3" s="3">
        <v>330</v>
      </c>
      <c r="B3" s="3" t="s">
        <v>10</v>
      </c>
      <c r="C3" s="123"/>
      <c r="E3">
        <v>1350</v>
      </c>
      <c r="F3" t="s">
        <v>11</v>
      </c>
      <c r="G3" t="s">
        <v>12</v>
      </c>
      <c r="H3" t="s">
        <v>9</v>
      </c>
    </row>
    <row r="4" spans="1:11" x14ac:dyDescent="0.2">
      <c r="A4" s="3">
        <v>72</v>
      </c>
      <c r="B4" s="3" t="s">
        <v>13</v>
      </c>
      <c r="C4" s="123"/>
      <c r="E4">
        <v>4590</v>
      </c>
      <c r="F4" t="s">
        <v>7</v>
      </c>
      <c r="G4" t="s">
        <v>14</v>
      </c>
      <c r="H4" t="s">
        <v>15</v>
      </c>
    </row>
    <row r="5" spans="1:11" x14ac:dyDescent="0.2">
      <c r="A5" s="3">
        <v>34</v>
      </c>
      <c r="B5" s="3" t="s">
        <v>16</v>
      </c>
      <c r="C5" s="123"/>
      <c r="E5">
        <v>5700</v>
      </c>
      <c r="F5" t="s">
        <v>17</v>
      </c>
      <c r="G5" t="s">
        <v>8</v>
      </c>
      <c r="H5" t="s">
        <v>18</v>
      </c>
    </row>
    <row r="6" spans="1:11" x14ac:dyDescent="0.2">
      <c r="A6" s="3">
        <v>90</v>
      </c>
      <c r="B6" s="3" t="s">
        <v>19</v>
      </c>
      <c r="C6" s="123"/>
      <c r="E6">
        <v>2380</v>
      </c>
      <c r="F6" t="s">
        <v>17</v>
      </c>
      <c r="G6" t="s">
        <v>8</v>
      </c>
      <c r="H6" t="s">
        <v>20</v>
      </c>
    </row>
    <row r="7" spans="1:11" x14ac:dyDescent="0.2">
      <c r="A7" s="3">
        <v>160</v>
      </c>
      <c r="B7" s="3" t="s">
        <v>21</v>
      </c>
      <c r="C7" s="123"/>
    </row>
    <row r="8" spans="1:11" x14ac:dyDescent="0.2">
      <c r="A8" s="3">
        <v>179</v>
      </c>
      <c r="B8" s="3" t="s">
        <v>22</v>
      </c>
      <c r="C8" s="123"/>
    </row>
    <row r="9" spans="1:11" x14ac:dyDescent="0.2">
      <c r="A9" s="3">
        <v>12</v>
      </c>
      <c r="B9" s="3" t="s">
        <v>23</v>
      </c>
      <c r="C9" s="123"/>
      <c r="H9" s="3"/>
      <c r="I9" s="3"/>
    </row>
    <row r="10" spans="1:11" x14ac:dyDescent="0.2">
      <c r="A10" s="3">
        <v>43</v>
      </c>
      <c r="B10" s="3" t="s">
        <v>24</v>
      </c>
      <c r="C10" s="123"/>
      <c r="H10" s="3"/>
      <c r="I10" s="3"/>
    </row>
    <row r="11" spans="1:11" x14ac:dyDescent="0.2">
      <c r="A11" s="3">
        <v>7580</v>
      </c>
      <c r="B11" s="3" t="s">
        <v>25</v>
      </c>
      <c r="C11" s="123"/>
      <c r="H11" s="3"/>
      <c r="I11" s="3"/>
    </row>
    <row r="12" spans="1:11" x14ac:dyDescent="0.2">
      <c r="A12" s="3">
        <v>4800</v>
      </c>
      <c r="B12" s="3" t="s">
        <v>26</v>
      </c>
      <c r="C12" s="123"/>
      <c r="H12" s="3"/>
      <c r="I12" s="3"/>
    </row>
    <row r="13" spans="1:11" ht="15.75" thickBot="1" x14ac:dyDescent="0.25">
      <c r="A13" s="4">
        <v>70</v>
      </c>
      <c r="B13" s="5" t="s">
        <v>27</v>
      </c>
      <c r="C13" s="160"/>
      <c r="H13" s="3"/>
      <c r="I13" s="3"/>
    </row>
    <row r="14" spans="1:11" ht="15.75" thickTop="1" x14ac:dyDescent="0.2">
      <c r="A14" s="8">
        <v>35</v>
      </c>
      <c r="B14" s="8" t="s">
        <v>28</v>
      </c>
      <c r="C14" s="161" t="s">
        <v>29</v>
      </c>
      <c r="D14" t="s">
        <v>30</v>
      </c>
      <c r="H14" s="3"/>
      <c r="I14" s="3"/>
    </row>
    <row r="15" spans="1:11" x14ac:dyDescent="0.2">
      <c r="A15" s="3">
        <v>20</v>
      </c>
      <c r="B15" s="3" t="s">
        <v>31</v>
      </c>
      <c r="C15" s="123"/>
      <c r="D15">
        <f>SUM(A14:A23)</f>
        <v>3190</v>
      </c>
      <c r="H15" s="3"/>
      <c r="I15" s="3"/>
    </row>
    <row r="16" spans="1:11" x14ac:dyDescent="0.2">
      <c r="A16" s="3">
        <v>29</v>
      </c>
      <c r="B16" s="3" t="s">
        <v>32</v>
      </c>
      <c r="C16" s="123"/>
      <c r="D16" t="s">
        <v>33</v>
      </c>
      <c r="H16" s="3"/>
      <c r="I16" s="3"/>
    </row>
    <row r="17" spans="1:9" x14ac:dyDescent="0.2">
      <c r="A17" s="3">
        <v>21</v>
      </c>
      <c r="B17" s="3" t="s">
        <v>34</v>
      </c>
      <c r="C17" s="123"/>
      <c r="D17">
        <f>SUM(E5:E6)</f>
        <v>8080</v>
      </c>
      <c r="H17" s="3"/>
      <c r="I17" s="3"/>
    </row>
    <row r="18" spans="1:9" x14ac:dyDescent="0.2">
      <c r="A18" s="3">
        <v>70</v>
      </c>
      <c r="B18" s="3" t="s">
        <v>35</v>
      </c>
      <c r="C18" s="123"/>
      <c r="H18" s="3"/>
      <c r="I18" s="3"/>
    </row>
    <row r="19" spans="1:9" x14ac:dyDescent="0.2">
      <c r="A19" s="3">
        <v>420</v>
      </c>
      <c r="B19" s="3" t="s">
        <v>36</v>
      </c>
      <c r="C19" s="123"/>
      <c r="H19" s="3"/>
      <c r="I19" s="3"/>
    </row>
    <row r="20" spans="1:9" x14ac:dyDescent="0.2">
      <c r="A20" s="3">
        <v>290</v>
      </c>
      <c r="B20" s="3" t="s">
        <v>37</v>
      </c>
      <c r="C20" s="123"/>
    </row>
    <row r="21" spans="1:9" x14ac:dyDescent="0.2">
      <c r="A21" s="3">
        <v>35</v>
      </c>
      <c r="B21" s="3" t="s">
        <v>28</v>
      </c>
      <c r="C21" s="123"/>
    </row>
    <row r="22" spans="1:9" x14ac:dyDescent="0.2">
      <c r="A22" s="3">
        <v>100</v>
      </c>
      <c r="B22" s="3" t="s">
        <v>38</v>
      </c>
      <c r="C22" s="123"/>
    </row>
    <row r="23" spans="1:9" ht="15.75" thickBot="1" x14ac:dyDescent="0.25">
      <c r="A23" s="9">
        <v>2170</v>
      </c>
      <c r="B23" s="9" t="s">
        <v>39</v>
      </c>
      <c r="C23" s="162"/>
    </row>
    <row r="24" spans="1:9" ht="15.75" thickTop="1" x14ac:dyDescent="0.2"/>
  </sheetData>
  <mergeCells count="2">
    <mergeCell ref="C2:C13"/>
    <mergeCell ref="C14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2B5F-677B-4003-A83D-6C2BB78196DE}">
  <sheetPr>
    <pageSetUpPr fitToPage="1"/>
  </sheetPr>
  <dimension ref="A1:O79"/>
  <sheetViews>
    <sheetView rightToLeft="1" tabSelected="1" workbookViewId="0">
      <pane xSplit="11" ySplit="1" topLeftCell="L38" activePane="bottomRight" state="frozen"/>
      <selection pane="bottomLeft" activeCell="A2" sqref="A2"/>
      <selection pane="topRight" activeCell="L1" sqref="L1"/>
      <selection pane="bottomRight" activeCell="B54" sqref="B54"/>
    </sheetView>
  </sheetViews>
  <sheetFormatPr defaultRowHeight="15" x14ac:dyDescent="0.2"/>
  <cols>
    <col min="1" max="1" width="11.296875" style="80" customWidth="1"/>
    <col min="2" max="2" width="28.11328125" style="6" customWidth="1"/>
    <col min="3" max="3" width="13.44921875" style="10" customWidth="1"/>
    <col min="4" max="4" width="0.53515625" style="15" customWidth="1"/>
    <col min="5" max="5" width="18.5625" style="45" customWidth="1"/>
    <col min="6" max="6" width="18.5625" style="6" customWidth="1"/>
    <col min="7" max="7" width="15.6015625" style="6" customWidth="1"/>
    <col min="8" max="8" width="12.5078125" style="6" customWidth="1"/>
    <col min="9" max="9" width="13.31640625" customWidth="1"/>
    <col min="10" max="10" width="16.41015625" style="3" customWidth="1"/>
    <col min="11" max="11" width="18.6953125" style="3" customWidth="1"/>
    <col min="12" max="12" width="32.28515625" customWidth="1"/>
    <col min="13" max="13" width="0.94140625" style="15" customWidth="1"/>
    <col min="14" max="14" width="14.9296875" customWidth="1"/>
    <col min="15" max="15" width="12.10546875" customWidth="1"/>
  </cols>
  <sheetData>
    <row r="1" spans="1:15" ht="26.25" customHeight="1" x14ac:dyDescent="0.35">
      <c r="A1" s="76" t="s">
        <v>40</v>
      </c>
      <c r="B1" s="28" t="s">
        <v>41</v>
      </c>
      <c r="C1" s="26" t="s">
        <v>42</v>
      </c>
      <c r="D1" s="19"/>
      <c r="E1" s="41" t="s">
        <v>1</v>
      </c>
      <c r="F1" s="71" t="s">
        <v>41</v>
      </c>
      <c r="G1" s="135" t="s">
        <v>43</v>
      </c>
      <c r="H1" s="135"/>
      <c r="I1" s="21" t="s">
        <v>42</v>
      </c>
      <c r="J1" s="27" t="s">
        <v>44</v>
      </c>
      <c r="L1" s="72">
        <f>L3-L8</f>
        <v>9795</v>
      </c>
      <c r="N1" s="12" t="s">
        <v>45</v>
      </c>
    </row>
    <row r="2" spans="1:15" ht="15.75" x14ac:dyDescent="0.2">
      <c r="A2" s="30">
        <v>50</v>
      </c>
      <c r="B2" s="95" t="s">
        <v>46</v>
      </c>
      <c r="C2" s="148">
        <f>SUM(A2:A15)</f>
        <v>1690</v>
      </c>
      <c r="D2" s="59"/>
      <c r="E2" s="43">
        <v>210</v>
      </c>
      <c r="F2" s="93" t="s">
        <v>47</v>
      </c>
      <c r="G2" s="93" t="s">
        <v>48</v>
      </c>
      <c r="H2" s="37" t="s">
        <v>49</v>
      </c>
      <c r="I2" s="152">
        <f>SUM(E2:E4)</f>
        <v>1280</v>
      </c>
      <c r="J2" s="93" t="s">
        <v>50</v>
      </c>
      <c r="L2" s="13" t="s">
        <v>2</v>
      </c>
      <c r="M2" s="16"/>
    </row>
    <row r="3" spans="1:15" ht="15.75" x14ac:dyDescent="0.2">
      <c r="A3" s="30">
        <v>45</v>
      </c>
      <c r="B3" s="95" t="s">
        <v>51</v>
      </c>
      <c r="C3" s="149"/>
      <c r="D3" s="59"/>
      <c r="E3" s="43">
        <v>910</v>
      </c>
      <c r="F3" s="93" t="s">
        <v>52</v>
      </c>
      <c r="G3" s="93" t="s">
        <v>48</v>
      </c>
      <c r="H3" s="37" t="s">
        <v>49</v>
      </c>
      <c r="I3" s="153"/>
      <c r="J3" s="93" t="s">
        <v>50</v>
      </c>
      <c r="L3" s="36">
        <f>SUM(E:E)</f>
        <v>52840</v>
      </c>
      <c r="M3" s="17"/>
      <c r="N3" s="3"/>
    </row>
    <row r="4" spans="1:15" ht="15.75" x14ac:dyDescent="0.2">
      <c r="A4" s="31">
        <v>125</v>
      </c>
      <c r="B4" s="99" t="s">
        <v>53</v>
      </c>
      <c r="C4" s="149"/>
      <c r="D4" s="59"/>
      <c r="E4" s="43">
        <v>160</v>
      </c>
      <c r="F4" s="93" t="s">
        <v>54</v>
      </c>
      <c r="G4" s="93" t="s">
        <v>48</v>
      </c>
      <c r="H4" s="37" t="s">
        <v>49</v>
      </c>
      <c r="I4" s="153"/>
      <c r="J4" s="93" t="s">
        <v>50</v>
      </c>
      <c r="L4" s="3"/>
      <c r="M4" s="17"/>
    </row>
    <row r="5" spans="1:15" x14ac:dyDescent="0.2">
      <c r="A5" s="30">
        <v>65</v>
      </c>
      <c r="B5" s="95" t="s">
        <v>55</v>
      </c>
      <c r="C5" s="149"/>
      <c r="D5" s="59"/>
      <c r="E5" s="43"/>
      <c r="F5" s="93"/>
      <c r="G5" s="93"/>
      <c r="H5" s="93"/>
      <c r="I5" s="153"/>
      <c r="J5" s="93" t="s">
        <v>50</v>
      </c>
      <c r="L5" s="3"/>
      <c r="M5" s="17"/>
    </row>
    <row r="6" spans="1:15" x14ac:dyDescent="0.2">
      <c r="A6" s="30">
        <v>55</v>
      </c>
      <c r="B6" s="95" t="s">
        <v>56</v>
      </c>
      <c r="C6" s="149"/>
      <c r="D6" s="59"/>
      <c r="E6" s="43"/>
      <c r="F6" s="93"/>
      <c r="G6" s="93"/>
      <c r="H6" s="93"/>
      <c r="I6" s="153"/>
      <c r="J6" s="93" t="s">
        <v>50</v>
      </c>
      <c r="L6" s="3"/>
      <c r="M6" s="17"/>
    </row>
    <row r="7" spans="1:15" x14ac:dyDescent="0.2">
      <c r="A7" s="30">
        <v>95</v>
      </c>
      <c r="B7" s="95" t="s">
        <v>57</v>
      </c>
      <c r="C7" s="149"/>
      <c r="D7" s="59"/>
      <c r="E7" s="43"/>
      <c r="F7" s="93"/>
      <c r="G7" s="93"/>
      <c r="H7" s="93"/>
      <c r="I7" s="153"/>
      <c r="J7" s="93" t="s">
        <v>50</v>
      </c>
      <c r="L7" s="14" t="s">
        <v>3</v>
      </c>
      <c r="M7" s="16"/>
    </row>
    <row r="8" spans="1:15" x14ac:dyDescent="0.2">
      <c r="A8" s="30">
        <v>55</v>
      </c>
      <c r="B8" s="95" t="s">
        <v>58</v>
      </c>
      <c r="C8" s="149"/>
      <c r="D8" s="59"/>
      <c r="E8" s="43"/>
      <c r="F8" s="93"/>
      <c r="G8" s="93"/>
      <c r="H8" s="93"/>
      <c r="I8" s="153"/>
      <c r="J8" s="93" t="s">
        <v>50</v>
      </c>
      <c r="L8" s="75">
        <f>SUM(A:A)</f>
        <v>43045</v>
      </c>
      <c r="M8" s="17"/>
    </row>
    <row r="9" spans="1:15" x14ac:dyDescent="0.2">
      <c r="A9" s="31">
        <v>365</v>
      </c>
      <c r="B9" s="99" t="s">
        <v>59</v>
      </c>
      <c r="C9" s="149"/>
      <c r="D9" s="59"/>
      <c r="E9" s="43"/>
      <c r="F9" s="93"/>
      <c r="G9" s="93"/>
      <c r="H9" s="93"/>
      <c r="I9" s="153"/>
      <c r="J9" s="93" t="s">
        <v>50</v>
      </c>
      <c r="L9" s="3"/>
      <c r="M9" s="17"/>
    </row>
    <row r="10" spans="1:15" x14ac:dyDescent="0.2">
      <c r="A10" s="31">
        <v>310</v>
      </c>
      <c r="B10" s="99" t="s">
        <v>60</v>
      </c>
      <c r="C10" s="149"/>
      <c r="D10" s="59"/>
      <c r="E10" s="43"/>
      <c r="F10" s="93"/>
      <c r="G10" s="93"/>
      <c r="H10" s="93"/>
      <c r="I10" s="153"/>
      <c r="J10" s="93" t="s">
        <v>50</v>
      </c>
      <c r="L10" s="3"/>
      <c r="M10" s="17"/>
    </row>
    <row r="11" spans="1:15" x14ac:dyDescent="0.2">
      <c r="A11" s="30">
        <v>100</v>
      </c>
      <c r="B11" s="95" t="s">
        <v>61</v>
      </c>
      <c r="C11" s="149"/>
      <c r="D11" s="59"/>
      <c r="E11" s="43"/>
      <c r="F11" s="93"/>
      <c r="G11" s="93"/>
      <c r="H11" s="93"/>
      <c r="I11" s="153"/>
      <c r="J11" s="93" t="s">
        <v>50</v>
      </c>
      <c r="L11" s="3"/>
      <c r="M11" s="17"/>
    </row>
    <row r="12" spans="1:15" x14ac:dyDescent="0.2">
      <c r="A12" s="30">
        <v>65</v>
      </c>
      <c r="B12" s="95" t="s">
        <v>62</v>
      </c>
      <c r="C12" s="149"/>
      <c r="D12" s="59"/>
      <c r="E12" s="43"/>
      <c r="F12" s="93"/>
      <c r="G12" s="93"/>
      <c r="H12" s="93"/>
      <c r="I12" s="153"/>
      <c r="J12" s="93" t="s">
        <v>50</v>
      </c>
      <c r="L12" s="22" t="s">
        <v>4</v>
      </c>
      <c r="M12" s="17"/>
    </row>
    <row r="13" spans="1:15" x14ac:dyDescent="0.2">
      <c r="A13" s="30">
        <v>30</v>
      </c>
      <c r="B13" s="95" t="s">
        <v>63</v>
      </c>
      <c r="C13" s="149"/>
      <c r="D13" s="59"/>
      <c r="E13" s="43"/>
      <c r="F13" s="93"/>
      <c r="G13" s="93"/>
      <c r="H13" s="93"/>
      <c r="I13" s="153"/>
      <c r="J13" s="93" t="s">
        <v>50</v>
      </c>
      <c r="L13" s="72">
        <f>L3-L8</f>
        <v>9795</v>
      </c>
      <c r="M13" s="18"/>
      <c r="O13" s="29"/>
    </row>
    <row r="14" spans="1:15" x14ac:dyDescent="0.2">
      <c r="A14" s="31">
        <v>300</v>
      </c>
      <c r="B14" s="99" t="s">
        <v>64</v>
      </c>
      <c r="C14" s="149"/>
      <c r="D14" s="59"/>
      <c r="E14" s="43"/>
      <c r="F14" s="93"/>
      <c r="G14" s="93"/>
      <c r="H14" s="93"/>
      <c r="I14" s="153"/>
      <c r="J14" s="93" t="s">
        <v>50</v>
      </c>
      <c r="L14" s="23"/>
    </row>
    <row r="15" spans="1:15" ht="15.75" thickBot="1" x14ac:dyDescent="0.25">
      <c r="A15" s="32">
        <v>30</v>
      </c>
      <c r="B15" s="96" t="s">
        <v>65</v>
      </c>
      <c r="C15" s="150"/>
      <c r="D15" s="60"/>
      <c r="E15" s="44"/>
      <c r="F15" s="94"/>
      <c r="G15" s="94"/>
      <c r="H15" s="94"/>
      <c r="I15" s="154"/>
      <c r="J15" s="94" t="s">
        <v>50</v>
      </c>
      <c r="L15" s="24"/>
    </row>
    <row r="16" spans="1:15" ht="16.5" thickTop="1" x14ac:dyDescent="0.2">
      <c r="A16" s="33">
        <v>50</v>
      </c>
      <c r="B16" s="25" t="s">
        <v>66</v>
      </c>
      <c r="C16" s="145">
        <f>SUM(A16:A17)</f>
        <v>105</v>
      </c>
      <c r="D16" s="50"/>
      <c r="E16" s="64">
        <v>750</v>
      </c>
      <c r="F16" s="65" t="s">
        <v>67</v>
      </c>
      <c r="G16" s="65" t="s">
        <v>48</v>
      </c>
      <c r="H16" s="66" t="s">
        <v>49</v>
      </c>
      <c r="I16" s="136">
        <f>SUM(E16:E18)</f>
        <v>2080</v>
      </c>
      <c r="J16" s="65" t="s">
        <v>68</v>
      </c>
      <c r="L16" s="89" t="s">
        <v>69</v>
      </c>
      <c r="O16" s="29"/>
    </row>
    <row r="17" spans="1:15" ht="15.75" x14ac:dyDescent="0.2">
      <c r="A17" s="34">
        <v>55</v>
      </c>
      <c r="B17" s="97" t="s">
        <v>27</v>
      </c>
      <c r="C17" s="146"/>
      <c r="E17" s="42">
        <v>680</v>
      </c>
      <c r="F17" s="91" t="s">
        <v>70</v>
      </c>
      <c r="G17" s="91" t="s">
        <v>48</v>
      </c>
      <c r="H17" s="38" t="s">
        <v>49</v>
      </c>
      <c r="I17" s="137"/>
      <c r="J17" s="57" t="s">
        <v>68</v>
      </c>
      <c r="L17" s="73" t="s">
        <v>139</v>
      </c>
      <c r="O17" s="29"/>
    </row>
    <row r="18" spans="1:15" ht="16.5" thickBot="1" x14ac:dyDescent="0.25">
      <c r="A18" s="35"/>
      <c r="B18" s="92"/>
      <c r="C18" s="147"/>
      <c r="D18" s="20"/>
      <c r="E18" s="67">
        <v>650</v>
      </c>
      <c r="F18" s="92" t="s">
        <v>71</v>
      </c>
      <c r="G18" s="92" t="s">
        <v>72</v>
      </c>
      <c r="H18" s="68" t="s">
        <v>49</v>
      </c>
      <c r="I18" s="138"/>
      <c r="J18" s="88" t="s">
        <v>68</v>
      </c>
      <c r="L18" s="11"/>
      <c r="O18" s="29"/>
    </row>
    <row r="19" spans="1:15" ht="16.5" thickTop="1" x14ac:dyDescent="0.2">
      <c r="A19" s="49">
        <v>1500</v>
      </c>
      <c r="B19" s="6" t="s">
        <v>73</v>
      </c>
      <c r="C19" s="142">
        <f>SUM(A19:A20)</f>
        <v>1555</v>
      </c>
      <c r="D19" s="50"/>
      <c r="E19" s="46">
        <v>910</v>
      </c>
      <c r="F19" s="47" t="s">
        <v>74</v>
      </c>
      <c r="G19" s="47" t="s">
        <v>72</v>
      </c>
      <c r="H19" s="48" t="s">
        <v>49</v>
      </c>
      <c r="I19" s="139">
        <f>SUM(E19:E22)</f>
        <v>5470</v>
      </c>
      <c r="J19" s="47" t="s">
        <v>75</v>
      </c>
      <c r="L19" s="11"/>
    </row>
    <row r="20" spans="1:15" ht="15.75" x14ac:dyDescent="0.2">
      <c r="A20" s="30">
        <v>55</v>
      </c>
      <c r="B20" s="95" t="s">
        <v>76</v>
      </c>
      <c r="C20" s="143"/>
      <c r="E20" s="43">
        <v>2040</v>
      </c>
      <c r="F20" s="93" t="s">
        <v>77</v>
      </c>
      <c r="G20" s="93" t="s">
        <v>48</v>
      </c>
      <c r="H20" s="37" t="s">
        <v>49</v>
      </c>
      <c r="I20" s="140"/>
      <c r="J20" s="62" t="s">
        <v>75</v>
      </c>
      <c r="L20" s="11"/>
    </row>
    <row r="21" spans="1:15" ht="15.75" x14ac:dyDescent="0.2">
      <c r="A21" s="30"/>
      <c r="B21" s="93"/>
      <c r="C21" s="143"/>
      <c r="E21" s="43">
        <v>520</v>
      </c>
      <c r="F21" s="93" t="s">
        <v>78</v>
      </c>
      <c r="G21" s="93" t="s">
        <v>72</v>
      </c>
      <c r="H21" s="37" t="s">
        <v>49</v>
      </c>
      <c r="I21" s="140"/>
      <c r="J21" s="62" t="s">
        <v>75</v>
      </c>
      <c r="L21" s="11"/>
    </row>
    <row r="22" spans="1:15" ht="16.5" thickBot="1" x14ac:dyDescent="0.25">
      <c r="A22" s="32"/>
      <c r="B22" s="94"/>
      <c r="C22" s="144"/>
      <c r="D22" s="20"/>
      <c r="E22" s="43">
        <v>2000</v>
      </c>
      <c r="F22" s="93" t="s">
        <v>79</v>
      </c>
      <c r="G22" s="93"/>
      <c r="H22" s="37" t="s">
        <v>49</v>
      </c>
      <c r="I22" s="141"/>
      <c r="J22" s="101" t="s">
        <v>75</v>
      </c>
      <c r="L22" s="11"/>
    </row>
    <row r="23" spans="1:15" ht="16.5" thickTop="1" x14ac:dyDescent="0.2">
      <c r="A23" s="33">
        <v>200</v>
      </c>
      <c r="B23" s="25" t="s">
        <v>80</v>
      </c>
      <c r="C23" s="127">
        <f>SUM(A23:A30)</f>
        <v>1205</v>
      </c>
      <c r="D23" s="70"/>
      <c r="E23" s="64">
        <v>200</v>
      </c>
      <c r="F23" s="65" t="s">
        <v>81</v>
      </c>
      <c r="G23" s="65" t="s">
        <v>48</v>
      </c>
      <c r="H23" s="66" t="s">
        <v>49</v>
      </c>
      <c r="I23" s="124">
        <f>SUM(E23:E27)</f>
        <v>2980</v>
      </c>
      <c r="J23" s="65" t="s">
        <v>82</v>
      </c>
      <c r="L23" s="11"/>
    </row>
    <row r="24" spans="1:15" ht="15.75" x14ac:dyDescent="0.2">
      <c r="A24" s="34">
        <v>20</v>
      </c>
      <c r="B24" s="97" t="s">
        <v>83</v>
      </c>
      <c r="C24" s="158"/>
      <c r="D24" s="39"/>
      <c r="E24" s="42">
        <v>300</v>
      </c>
      <c r="F24" s="91" t="s">
        <v>84</v>
      </c>
      <c r="G24" s="91"/>
      <c r="H24" s="58" t="s">
        <v>49</v>
      </c>
      <c r="I24" s="125"/>
      <c r="J24" s="91" t="s">
        <v>82</v>
      </c>
      <c r="L24" s="11"/>
    </row>
    <row r="25" spans="1:15" ht="15.75" x14ac:dyDescent="0.2">
      <c r="A25" s="54">
        <v>30</v>
      </c>
      <c r="B25" s="55" t="s">
        <v>62</v>
      </c>
      <c r="C25" s="158"/>
      <c r="D25" s="39"/>
      <c r="E25" s="56">
        <v>1000</v>
      </c>
      <c r="F25" s="57" t="s">
        <v>85</v>
      </c>
      <c r="G25" s="57"/>
      <c r="H25" s="58" t="s">
        <v>49</v>
      </c>
      <c r="I25" s="125"/>
      <c r="J25" s="91" t="s">
        <v>82</v>
      </c>
      <c r="L25" s="79"/>
    </row>
    <row r="26" spans="1:15" ht="15.75" x14ac:dyDescent="0.2">
      <c r="A26" s="54">
        <v>420</v>
      </c>
      <c r="B26" s="55" t="s">
        <v>86</v>
      </c>
      <c r="C26" s="158"/>
      <c r="D26" s="39"/>
      <c r="E26" s="42">
        <v>1480</v>
      </c>
      <c r="F26" s="91" t="s">
        <v>87</v>
      </c>
      <c r="G26" s="91"/>
      <c r="H26" s="38" t="s">
        <v>49</v>
      </c>
      <c r="I26" s="125"/>
      <c r="J26" s="91" t="s">
        <v>82</v>
      </c>
      <c r="L26" s="11"/>
    </row>
    <row r="27" spans="1:15" ht="18" customHeight="1" x14ac:dyDescent="0.2">
      <c r="A27" s="34">
        <v>45</v>
      </c>
      <c r="B27" s="97" t="s">
        <v>88</v>
      </c>
      <c r="C27" s="158"/>
      <c r="D27" s="39"/>
      <c r="E27" s="42"/>
      <c r="F27" s="91"/>
      <c r="G27" s="91"/>
      <c r="H27" s="38"/>
      <c r="I27" s="125"/>
      <c r="J27" s="91" t="s">
        <v>82</v>
      </c>
      <c r="L27" s="11"/>
    </row>
    <row r="28" spans="1:15" x14ac:dyDescent="0.2">
      <c r="A28" s="54">
        <v>160</v>
      </c>
      <c r="B28" s="55" t="s">
        <v>89</v>
      </c>
      <c r="C28" s="158"/>
      <c r="D28" s="39"/>
      <c r="E28" s="42"/>
      <c r="F28" s="91"/>
      <c r="G28" s="91"/>
      <c r="H28" s="38"/>
      <c r="I28" s="125"/>
      <c r="J28" s="91" t="s">
        <v>82</v>
      </c>
      <c r="L28" s="11"/>
    </row>
    <row r="29" spans="1:15" ht="17.25" x14ac:dyDescent="0.2">
      <c r="A29" s="34">
        <v>50</v>
      </c>
      <c r="B29" s="97" t="s">
        <v>90</v>
      </c>
      <c r="C29" s="158"/>
      <c r="D29" s="39"/>
      <c r="E29" s="42"/>
      <c r="F29" s="91"/>
      <c r="G29" s="91"/>
      <c r="H29" s="91"/>
      <c r="I29" s="125"/>
      <c r="J29" s="91" t="s">
        <v>82</v>
      </c>
      <c r="L29" s="11"/>
    </row>
    <row r="30" spans="1:15" ht="15.75" thickBot="1" x14ac:dyDescent="0.25">
      <c r="A30" s="35">
        <v>280</v>
      </c>
      <c r="B30" s="98" t="s">
        <v>91</v>
      </c>
      <c r="C30" s="159"/>
      <c r="D30" s="40"/>
      <c r="E30" s="67"/>
      <c r="F30" s="92"/>
      <c r="G30" s="92"/>
      <c r="H30" s="92"/>
      <c r="I30" s="151"/>
      <c r="J30" s="92" t="s">
        <v>82</v>
      </c>
      <c r="L30" s="11"/>
    </row>
    <row r="31" spans="1:15" ht="16.5" thickTop="1" x14ac:dyDescent="0.2">
      <c r="A31" s="49">
        <v>55</v>
      </c>
      <c r="B31" s="74" t="s">
        <v>92</v>
      </c>
      <c r="C31" s="155">
        <v>1085</v>
      </c>
      <c r="D31" s="69"/>
      <c r="E31" s="61">
        <v>1600</v>
      </c>
      <c r="F31" s="62" t="s">
        <v>93</v>
      </c>
      <c r="G31" s="62"/>
      <c r="H31" s="63" t="s">
        <v>49</v>
      </c>
      <c r="I31" s="133">
        <f>SUM(E31:E35)</f>
        <v>6820</v>
      </c>
      <c r="J31" s="47" t="s">
        <v>94</v>
      </c>
      <c r="L31" s="11"/>
    </row>
    <row r="32" spans="1:15" ht="18.75" x14ac:dyDescent="0.2">
      <c r="A32" s="30">
        <v>250</v>
      </c>
      <c r="B32" s="99" t="s">
        <v>95</v>
      </c>
      <c r="C32" s="156"/>
      <c r="D32" s="39"/>
      <c r="E32" s="51"/>
      <c r="F32" s="52"/>
      <c r="G32" s="52"/>
      <c r="H32" s="53"/>
      <c r="I32" s="134"/>
      <c r="J32" s="62" t="s">
        <v>94</v>
      </c>
      <c r="L32" s="11"/>
    </row>
    <row r="33" spans="1:15" ht="17.25" x14ac:dyDescent="0.2">
      <c r="A33" s="81" t="s">
        <v>96</v>
      </c>
      <c r="B33" s="99" t="s">
        <v>97</v>
      </c>
      <c r="C33" s="156"/>
      <c r="D33" s="39"/>
      <c r="E33" s="61"/>
      <c r="F33" s="62"/>
      <c r="G33" s="62"/>
      <c r="H33" s="63"/>
      <c r="I33" s="134"/>
      <c r="J33" s="62" t="s">
        <v>94</v>
      </c>
      <c r="L33" s="11"/>
    </row>
    <row r="34" spans="1:15" ht="15.75" x14ac:dyDescent="0.2">
      <c r="A34" s="81" t="s">
        <v>98</v>
      </c>
      <c r="B34" s="95" t="s">
        <v>99</v>
      </c>
      <c r="C34" s="156"/>
      <c r="D34" s="39"/>
      <c r="E34" s="61">
        <v>2220</v>
      </c>
      <c r="F34" s="62" t="s">
        <v>100</v>
      </c>
      <c r="G34" s="62"/>
      <c r="H34" s="63" t="s">
        <v>49</v>
      </c>
      <c r="I34" s="134"/>
      <c r="J34" s="62" t="s">
        <v>94</v>
      </c>
      <c r="L34" s="11"/>
    </row>
    <row r="35" spans="1:15" ht="17.25" x14ac:dyDescent="0.2">
      <c r="A35" s="30">
        <v>470</v>
      </c>
      <c r="B35" s="99" t="s">
        <v>101</v>
      </c>
      <c r="C35" s="156"/>
      <c r="D35" s="39"/>
      <c r="E35" s="61">
        <v>3000</v>
      </c>
      <c r="F35" s="62" t="s">
        <v>102</v>
      </c>
      <c r="G35" s="62"/>
      <c r="H35" s="63" t="s">
        <v>49</v>
      </c>
      <c r="I35" s="134"/>
      <c r="J35" s="62" t="s">
        <v>94</v>
      </c>
      <c r="L35" s="11"/>
    </row>
    <row r="36" spans="1:15" x14ac:dyDescent="0.2">
      <c r="A36" s="82" t="s">
        <v>103</v>
      </c>
      <c r="B36" s="96" t="s">
        <v>104</v>
      </c>
      <c r="C36" s="157"/>
      <c r="D36" s="40"/>
      <c r="E36" s="44"/>
      <c r="F36" s="94"/>
      <c r="G36" s="94"/>
      <c r="H36" s="94"/>
      <c r="I36" s="134"/>
      <c r="J36" s="100" t="s">
        <v>94</v>
      </c>
      <c r="L36" s="11"/>
    </row>
    <row r="37" spans="1:15" ht="27.75" customHeight="1" x14ac:dyDescent="0.2">
      <c r="A37" s="90">
        <v>1360</v>
      </c>
      <c r="B37" s="65" t="s">
        <v>105</v>
      </c>
      <c r="C37" s="127">
        <f>SUM(A37:A44)</f>
        <v>6324</v>
      </c>
      <c r="E37" s="77">
        <v>2900</v>
      </c>
      <c r="F37" s="91" t="s">
        <v>106</v>
      </c>
      <c r="G37" s="91"/>
      <c r="H37" s="58" t="s">
        <v>49</v>
      </c>
      <c r="I37" s="124">
        <f>SUM(E37:E44)</f>
        <v>11895</v>
      </c>
      <c r="J37" s="65" t="s">
        <v>107</v>
      </c>
      <c r="L37" s="11"/>
    </row>
    <row r="38" spans="1:15" ht="15.75" x14ac:dyDescent="0.2">
      <c r="A38" s="83" t="s">
        <v>108</v>
      </c>
      <c r="B38" s="91" t="s">
        <v>109</v>
      </c>
      <c r="C38" s="128"/>
      <c r="E38" s="77">
        <v>4900</v>
      </c>
      <c r="F38" s="91" t="s">
        <v>110</v>
      </c>
      <c r="G38" s="91"/>
      <c r="H38" s="58" t="s">
        <v>49</v>
      </c>
      <c r="I38" s="125"/>
      <c r="J38" s="91" t="s">
        <v>107</v>
      </c>
      <c r="L38" s="11"/>
    </row>
    <row r="39" spans="1:15" ht="15.75" x14ac:dyDescent="0.2">
      <c r="A39" s="78">
        <v>55</v>
      </c>
      <c r="B39" s="57" t="s">
        <v>92</v>
      </c>
      <c r="C39" s="128"/>
      <c r="E39" s="78">
        <v>4095</v>
      </c>
      <c r="F39" s="57" t="s">
        <v>111</v>
      </c>
      <c r="G39" s="57"/>
      <c r="H39" s="58" t="s">
        <v>49</v>
      </c>
      <c r="I39" s="125"/>
      <c r="J39" s="91" t="s">
        <v>107</v>
      </c>
      <c r="L39" s="11"/>
      <c r="O39" s="29"/>
    </row>
    <row r="40" spans="1:15" ht="17.25" x14ac:dyDescent="0.2">
      <c r="A40" s="77">
        <v>1015</v>
      </c>
      <c r="B40" s="91" t="s">
        <v>101</v>
      </c>
      <c r="C40" s="128"/>
      <c r="E40" s="42">
        <v>0</v>
      </c>
      <c r="F40" s="91"/>
      <c r="G40" s="91"/>
      <c r="H40" s="38"/>
      <c r="I40" s="125"/>
      <c r="J40" s="91" t="s">
        <v>107</v>
      </c>
      <c r="L40" s="11"/>
    </row>
    <row r="41" spans="1:15" ht="17.25" x14ac:dyDescent="0.2">
      <c r="A41" s="77">
        <v>1030</v>
      </c>
      <c r="B41" s="91" t="s">
        <v>112</v>
      </c>
      <c r="C41" s="128"/>
      <c r="E41" s="42"/>
      <c r="F41" s="91"/>
      <c r="G41" s="91"/>
      <c r="H41" s="38"/>
      <c r="I41" s="125"/>
      <c r="J41" s="91" t="s">
        <v>107</v>
      </c>
      <c r="L41" s="11"/>
    </row>
    <row r="42" spans="1:15" x14ac:dyDescent="0.2">
      <c r="A42" s="77">
        <v>24</v>
      </c>
      <c r="B42" s="91" t="s">
        <v>113</v>
      </c>
      <c r="C42" s="128"/>
      <c r="E42" s="42"/>
      <c r="F42" s="91"/>
      <c r="G42" s="91"/>
      <c r="H42" s="38"/>
      <c r="I42" s="125"/>
      <c r="J42" s="91" t="s">
        <v>107</v>
      </c>
      <c r="L42" s="11"/>
    </row>
    <row r="43" spans="1:15" ht="17.25" x14ac:dyDescent="0.2">
      <c r="A43" s="77">
        <v>1340</v>
      </c>
      <c r="B43" s="91" t="s">
        <v>114</v>
      </c>
      <c r="C43" s="128"/>
      <c r="E43" s="42"/>
      <c r="F43" s="91"/>
      <c r="G43" s="91"/>
      <c r="H43" s="91"/>
      <c r="I43" s="125"/>
      <c r="J43" s="91" t="s">
        <v>107</v>
      </c>
      <c r="L43" s="11"/>
    </row>
    <row r="44" spans="1:15" ht="18" thickBot="1" x14ac:dyDescent="0.25">
      <c r="A44" s="86">
        <v>1500</v>
      </c>
      <c r="B44" s="92" t="s">
        <v>115</v>
      </c>
      <c r="C44" s="129"/>
      <c r="E44" s="114"/>
      <c r="F44" s="115"/>
      <c r="G44" s="115"/>
      <c r="H44" s="115"/>
      <c r="I44" s="126"/>
      <c r="J44" s="115" t="s">
        <v>107</v>
      </c>
      <c r="L44" s="11"/>
    </row>
    <row r="45" spans="1:15" ht="30.75" thickTop="1" x14ac:dyDescent="0.2">
      <c r="A45" s="80">
        <v>4</v>
      </c>
      <c r="B45" s="6" t="s">
        <v>113</v>
      </c>
      <c r="E45" s="116">
        <v>880</v>
      </c>
      <c r="F45" s="116" t="s">
        <v>116</v>
      </c>
      <c r="G45" s="116"/>
      <c r="H45" s="116" t="s">
        <v>49</v>
      </c>
      <c r="I45" s="130">
        <f>SUM(E45:E51)</f>
        <v>12840</v>
      </c>
      <c r="J45" s="117" t="s">
        <v>117</v>
      </c>
      <c r="L45" s="11"/>
    </row>
    <row r="46" spans="1:15" ht="18.75" x14ac:dyDescent="0.25">
      <c r="A46" s="80">
        <v>55</v>
      </c>
      <c r="B46" s="6" t="s">
        <v>92</v>
      </c>
      <c r="E46" s="112" t="s">
        <v>157</v>
      </c>
      <c r="F46" s="112" t="s">
        <v>118</v>
      </c>
      <c r="G46" s="112"/>
      <c r="H46" s="113"/>
      <c r="I46" s="131"/>
      <c r="J46" s="111" t="s">
        <v>117</v>
      </c>
      <c r="L46" s="11"/>
    </row>
    <row r="47" spans="1:15" ht="15.75" x14ac:dyDescent="0.2">
      <c r="A47" s="84">
        <v>1340</v>
      </c>
      <c r="B47" s="85" t="s">
        <v>119</v>
      </c>
      <c r="E47" s="110">
        <v>4440</v>
      </c>
      <c r="F47" s="110" t="s">
        <v>120</v>
      </c>
      <c r="G47" s="110"/>
      <c r="H47" s="110" t="s">
        <v>49</v>
      </c>
      <c r="I47" s="131"/>
      <c r="J47" s="111" t="s">
        <v>117</v>
      </c>
      <c r="L47" s="11"/>
    </row>
    <row r="48" spans="1:15" ht="17.25" x14ac:dyDescent="0.2">
      <c r="A48" s="80">
        <v>1200</v>
      </c>
      <c r="B48" s="6" t="s">
        <v>121</v>
      </c>
      <c r="E48" s="110">
        <v>5290</v>
      </c>
      <c r="F48" s="110" t="s">
        <v>85</v>
      </c>
      <c r="G48" s="110"/>
      <c r="H48" s="110" t="s">
        <v>49</v>
      </c>
      <c r="I48" s="131"/>
      <c r="J48" s="111" t="s">
        <v>117</v>
      </c>
      <c r="L48" s="11"/>
    </row>
    <row r="49" spans="1:12" ht="17.25" x14ac:dyDescent="0.2">
      <c r="A49" s="80">
        <v>35</v>
      </c>
      <c r="B49" s="6" t="s">
        <v>122</v>
      </c>
      <c r="E49" s="110">
        <v>1030</v>
      </c>
      <c r="F49" s="110" t="s">
        <v>123</v>
      </c>
      <c r="G49" s="110"/>
      <c r="H49" s="110" t="s">
        <v>49</v>
      </c>
      <c r="I49" s="131"/>
      <c r="J49" s="111" t="s">
        <v>117</v>
      </c>
      <c r="L49" s="11"/>
    </row>
    <row r="50" spans="1:12" ht="17.25" x14ac:dyDescent="0.2">
      <c r="A50" s="80">
        <v>240</v>
      </c>
      <c r="B50" s="6" t="s">
        <v>124</v>
      </c>
      <c r="E50" s="110">
        <v>770</v>
      </c>
      <c r="F50" s="110" t="s">
        <v>125</v>
      </c>
      <c r="G50" s="110"/>
      <c r="H50" s="110" t="s">
        <v>49</v>
      </c>
      <c r="I50" s="131"/>
      <c r="J50" s="111" t="s">
        <v>117</v>
      </c>
      <c r="L50" s="11"/>
    </row>
    <row r="51" spans="1:12" ht="15.75" x14ac:dyDescent="0.2">
      <c r="A51" s="80">
        <v>5100</v>
      </c>
      <c r="B51" s="6" t="s">
        <v>126</v>
      </c>
      <c r="E51" s="110">
        <v>430</v>
      </c>
      <c r="F51" s="110" t="s">
        <v>127</v>
      </c>
      <c r="G51" s="110"/>
      <c r="H51" s="110" t="s">
        <v>49</v>
      </c>
      <c r="I51" s="132"/>
      <c r="J51" s="111" t="s">
        <v>117</v>
      </c>
      <c r="L51" s="11"/>
    </row>
    <row r="52" spans="1:12" x14ac:dyDescent="0.2">
      <c r="A52" s="80">
        <v>360</v>
      </c>
      <c r="B52" s="6" t="s">
        <v>128</v>
      </c>
      <c r="E52" s="118"/>
      <c r="F52" s="119"/>
      <c r="G52" s="119"/>
      <c r="H52" s="119"/>
      <c r="I52" s="120"/>
      <c r="J52" s="121"/>
      <c r="L52" s="11"/>
    </row>
    <row r="53" spans="1:12" x14ac:dyDescent="0.2">
      <c r="A53" s="87">
        <v>366</v>
      </c>
      <c r="B53" s="12" t="s">
        <v>129</v>
      </c>
      <c r="E53" s="107"/>
      <c r="J53" s="106"/>
    </row>
    <row r="54" spans="1:12" x14ac:dyDescent="0.2">
      <c r="A54" s="80">
        <v>1000</v>
      </c>
      <c r="B54" s="6" t="s">
        <v>162</v>
      </c>
      <c r="E54" s="107"/>
      <c r="J54" s="106"/>
    </row>
    <row r="55" spans="1:12" x14ac:dyDescent="0.2">
      <c r="A55" s="80">
        <v>1000</v>
      </c>
      <c r="B55" s="6" t="s">
        <v>130</v>
      </c>
      <c r="E55" s="107"/>
      <c r="J55" s="106"/>
    </row>
    <row r="56" spans="1:12" x14ac:dyDescent="0.2">
      <c r="A56" s="87">
        <v>36</v>
      </c>
      <c r="B56" s="6" t="s">
        <v>132</v>
      </c>
      <c r="E56" s="107"/>
      <c r="J56" s="106"/>
    </row>
    <row r="57" spans="1:12" ht="17.25" x14ac:dyDescent="0.2">
      <c r="A57" s="80">
        <v>175</v>
      </c>
      <c r="B57" s="6" t="s">
        <v>133</v>
      </c>
      <c r="E57" s="107"/>
      <c r="J57" s="106"/>
    </row>
    <row r="58" spans="1:12" ht="17.25" x14ac:dyDescent="0.2">
      <c r="A58" s="80">
        <v>61</v>
      </c>
      <c r="B58" s="6" t="s">
        <v>134</v>
      </c>
      <c r="E58" s="107"/>
      <c r="J58" s="106"/>
    </row>
    <row r="59" spans="1:12" x14ac:dyDescent="0.2">
      <c r="A59" s="80">
        <v>520</v>
      </c>
      <c r="B59" s="6" t="s">
        <v>135</v>
      </c>
      <c r="E59" s="107"/>
      <c r="J59" s="106"/>
    </row>
    <row r="60" spans="1:12" x14ac:dyDescent="0.2">
      <c r="A60" s="80">
        <v>60</v>
      </c>
      <c r="B60" s="6" t="s">
        <v>136</v>
      </c>
      <c r="E60" s="107"/>
      <c r="J60" s="106"/>
    </row>
    <row r="61" spans="1:12" x14ac:dyDescent="0.2">
      <c r="A61" s="80">
        <v>3</v>
      </c>
      <c r="B61" s="6" t="s">
        <v>137</v>
      </c>
      <c r="E61" s="107"/>
      <c r="J61" s="106"/>
    </row>
    <row r="62" spans="1:12" x14ac:dyDescent="0.2">
      <c r="A62" s="80">
        <v>4</v>
      </c>
      <c r="B62" s="6" t="s">
        <v>113</v>
      </c>
      <c r="E62" s="107"/>
      <c r="J62" s="106"/>
    </row>
    <row r="63" spans="1:12" ht="15.75" thickBot="1" x14ac:dyDescent="0.25">
      <c r="A63" s="103">
        <v>2000</v>
      </c>
      <c r="B63" s="102" t="s">
        <v>138</v>
      </c>
      <c r="C63" s="104"/>
      <c r="D63" s="20"/>
      <c r="E63" s="108"/>
      <c r="F63" s="102"/>
      <c r="G63" s="102"/>
      <c r="H63" s="102"/>
      <c r="I63" s="105"/>
      <c r="J63" s="109"/>
    </row>
    <row r="64" spans="1:12" ht="19.5" thickTop="1" x14ac:dyDescent="0.25">
      <c r="A64" s="90">
        <v>60</v>
      </c>
      <c r="B64" s="65" t="s">
        <v>136</v>
      </c>
      <c r="C64" s="127"/>
      <c r="E64" s="112" t="s">
        <v>146</v>
      </c>
      <c r="F64" s="112" t="s">
        <v>143</v>
      </c>
      <c r="G64" s="112"/>
      <c r="H64" s="113"/>
      <c r="I64" s="124">
        <f>SUM(E64:E70)</f>
        <v>9475</v>
      </c>
      <c r="J64" s="65" t="s">
        <v>145</v>
      </c>
    </row>
    <row r="65" spans="1:10" ht="15.75" x14ac:dyDescent="0.2">
      <c r="A65" s="83">
        <v>1900</v>
      </c>
      <c r="B65" s="91" t="s">
        <v>151</v>
      </c>
      <c r="C65" s="128"/>
      <c r="E65" s="77">
        <v>650</v>
      </c>
      <c r="F65" s="91" t="s">
        <v>144</v>
      </c>
      <c r="G65" s="91"/>
      <c r="H65" s="58" t="s">
        <v>49</v>
      </c>
      <c r="I65" s="125"/>
      <c r="J65" s="91" t="s">
        <v>145</v>
      </c>
    </row>
    <row r="66" spans="1:10" ht="18.75" x14ac:dyDescent="0.25">
      <c r="A66" s="78">
        <v>55</v>
      </c>
      <c r="B66" s="57" t="s">
        <v>92</v>
      </c>
      <c r="C66" s="128"/>
      <c r="E66" s="112" t="s">
        <v>147</v>
      </c>
      <c r="F66" s="112" t="s">
        <v>148</v>
      </c>
      <c r="G66" s="112"/>
      <c r="H66" s="113"/>
      <c r="I66" s="125"/>
      <c r="J66" s="91" t="s">
        <v>145</v>
      </c>
    </row>
    <row r="67" spans="1:10" ht="17.25" x14ac:dyDescent="0.2">
      <c r="A67" s="77">
        <v>3010</v>
      </c>
      <c r="B67" s="91" t="s">
        <v>131</v>
      </c>
      <c r="C67" s="128"/>
      <c r="E67" s="77">
        <v>1970</v>
      </c>
      <c r="F67" s="91" t="s">
        <v>85</v>
      </c>
      <c r="G67" s="91"/>
      <c r="H67" s="58" t="s">
        <v>49</v>
      </c>
      <c r="I67" s="125"/>
      <c r="J67" s="91" t="s">
        <v>145</v>
      </c>
    </row>
    <row r="68" spans="1:10" ht="17.25" x14ac:dyDescent="0.2">
      <c r="A68" s="77" t="s">
        <v>140</v>
      </c>
      <c r="B68" s="91" t="s">
        <v>142</v>
      </c>
      <c r="C68" s="128"/>
      <c r="E68" s="77">
        <v>6055</v>
      </c>
      <c r="F68" s="91" t="s">
        <v>149</v>
      </c>
      <c r="G68" s="91"/>
      <c r="H68" s="58" t="s">
        <v>49</v>
      </c>
      <c r="I68" s="125"/>
      <c r="J68" s="91" t="s">
        <v>145</v>
      </c>
    </row>
    <row r="69" spans="1:10" ht="15.75" x14ac:dyDescent="0.2">
      <c r="A69" s="77">
        <v>730</v>
      </c>
      <c r="B69" s="91" t="s">
        <v>141</v>
      </c>
      <c r="C69" s="128"/>
      <c r="E69" s="77">
        <v>800</v>
      </c>
      <c r="F69" s="91" t="s">
        <v>150</v>
      </c>
      <c r="G69" s="91"/>
      <c r="H69" s="58" t="s">
        <v>49</v>
      </c>
      <c r="I69" s="125"/>
      <c r="J69" s="91" t="s">
        <v>145</v>
      </c>
    </row>
    <row r="70" spans="1:10" ht="18.75" x14ac:dyDescent="0.25">
      <c r="A70" s="77" t="s">
        <v>152</v>
      </c>
      <c r="B70" s="91" t="s">
        <v>153</v>
      </c>
      <c r="C70" s="128"/>
      <c r="E70" s="112" t="s">
        <v>156</v>
      </c>
      <c r="F70" s="112" t="s">
        <v>154</v>
      </c>
      <c r="G70" s="112"/>
      <c r="H70" s="113"/>
      <c r="I70" s="125"/>
      <c r="J70" s="91" t="s">
        <v>145</v>
      </c>
    </row>
    <row r="71" spans="1:10" ht="15.75" thickBot="1" x14ac:dyDescent="0.25">
      <c r="A71" s="86">
        <v>2000</v>
      </c>
      <c r="B71" s="92" t="s">
        <v>138</v>
      </c>
      <c r="C71" s="129"/>
      <c r="E71" s="114"/>
      <c r="F71" s="115"/>
      <c r="G71" s="115"/>
      <c r="H71" s="115"/>
      <c r="I71" s="126"/>
      <c r="J71" s="115"/>
    </row>
    <row r="72" spans="1:10" ht="15.75" thickTop="1" x14ac:dyDescent="0.2">
      <c r="A72" s="80">
        <v>4</v>
      </c>
      <c r="B72" s="6" t="s">
        <v>113</v>
      </c>
    </row>
    <row r="73" spans="1:10" x14ac:dyDescent="0.2">
      <c r="A73" s="80">
        <v>40</v>
      </c>
      <c r="B73" s="6" t="s">
        <v>155</v>
      </c>
    </row>
    <row r="74" spans="1:10" x14ac:dyDescent="0.2">
      <c r="A74" s="80">
        <v>1</v>
      </c>
      <c r="B74" s="6" t="s">
        <v>158</v>
      </c>
    </row>
    <row r="75" spans="1:10" x14ac:dyDescent="0.2">
      <c r="A75" s="80">
        <v>800</v>
      </c>
      <c r="B75" s="6" t="s">
        <v>159</v>
      </c>
    </row>
    <row r="76" spans="1:10" x14ac:dyDescent="0.2">
      <c r="A76" s="80">
        <v>55</v>
      </c>
      <c r="B76" s="6" t="s">
        <v>27</v>
      </c>
    </row>
    <row r="77" spans="1:10" x14ac:dyDescent="0.2">
      <c r="A77" s="122" t="s">
        <v>160</v>
      </c>
      <c r="B77" s="123" t="s">
        <v>161</v>
      </c>
    </row>
    <row r="78" spans="1:10" x14ac:dyDescent="0.2">
      <c r="A78" s="80">
        <v>9175</v>
      </c>
      <c r="B78" s="123"/>
    </row>
    <row r="79" spans="1:10" x14ac:dyDescent="0.2">
      <c r="A79" s="80">
        <v>2</v>
      </c>
      <c r="B79" s="6" t="s">
        <v>158</v>
      </c>
    </row>
  </sheetData>
  <autoFilter ref="E1:J36" xr:uid="{83A02B5F-677B-4003-A83D-6C2BB78196DE}">
    <filterColumn colId="2" showButton="0"/>
  </autoFilter>
  <mergeCells count="17">
    <mergeCell ref="I31:I36"/>
    <mergeCell ref="G1:H1"/>
    <mergeCell ref="I16:I18"/>
    <mergeCell ref="I19:I22"/>
    <mergeCell ref="C19:C22"/>
    <mergeCell ref="C16:C18"/>
    <mergeCell ref="C2:C15"/>
    <mergeCell ref="I23:I30"/>
    <mergeCell ref="I2:I15"/>
    <mergeCell ref="C31:C36"/>
    <mergeCell ref="C23:C30"/>
    <mergeCell ref="B77:B78"/>
    <mergeCell ref="I64:I71"/>
    <mergeCell ref="C64:C71"/>
    <mergeCell ref="I45:I51"/>
    <mergeCell ref="I37:I44"/>
    <mergeCell ref="C37:C44"/>
  </mergeCells>
  <phoneticPr fontId="11" type="noConversion"/>
  <pageMargins left="0.25" right="0.25" top="1.5" bottom="0.75" header="0.3" footer="0.3"/>
  <pageSetup paperSize="9" scale="6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CB75-15C9-4791-9277-B915EBC49218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dental-lab</dc:creator>
  <cp:keywords/>
  <dc:description/>
  <cp:lastModifiedBy>d.lab dd</cp:lastModifiedBy>
  <cp:revision/>
  <dcterms:created xsi:type="dcterms:W3CDTF">2015-06-05T18:17:20Z</dcterms:created>
  <dcterms:modified xsi:type="dcterms:W3CDTF">2026-09-08T12:37:28Z</dcterms:modified>
  <cp:category/>
  <cp:contentStatus/>
</cp:coreProperties>
</file>