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ental-lab\OneDrive\dental lab (1)\"/>
    </mc:Choice>
  </mc:AlternateContent>
  <xr:revisionPtr revIDLastSave="0" documentId="13_ncr:1_{35A90143-7E7C-4572-90D7-64AD4C4FC45D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Prices" sheetId="5" r:id="rId1"/>
    <sheet name=" 2026" sheetId="2" r:id="rId2"/>
    <sheet name=" 2025" sheetId="1" r:id="rId3"/>
  </sheets>
  <definedNames>
    <definedName name="_xlnm._FilterDatabase" localSheetId="1" hidden="1">' 2026'!$K$5:$K$41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13" i="2" l="1"/>
  <c r="N121" i="2"/>
  <c r="N110" i="2"/>
  <c r="M85" i="2"/>
  <c r="O46" i="2" l="1"/>
</calcChain>
</file>

<file path=xl/sharedStrings.xml><?xml version="1.0" encoding="utf-8"?>
<sst xmlns="http://schemas.openxmlformats.org/spreadsheetml/2006/main" count="1468" uniqueCount="534">
  <si>
    <t>رقم الحالة</t>
  </si>
  <si>
    <t>اسم الحالة</t>
  </si>
  <si>
    <t>الطبيب</t>
  </si>
  <si>
    <t>العيادة</t>
  </si>
  <si>
    <t>نوع العمل</t>
  </si>
  <si>
    <t>مكان الاسنان</t>
  </si>
  <si>
    <t>العدد</t>
  </si>
  <si>
    <t>ملاحظات</t>
  </si>
  <si>
    <t xml:space="preserve">تاريخ الاستلام و تاريخ التسليم </t>
  </si>
  <si>
    <t>السعر في الفاتورة</t>
  </si>
  <si>
    <t>شهر</t>
  </si>
  <si>
    <t>ايمان عمر</t>
  </si>
  <si>
    <t>سميره</t>
  </si>
  <si>
    <t>ايرولا</t>
  </si>
  <si>
    <t>ZIRCONIA FULL ANATOMY</t>
  </si>
  <si>
    <t>4|</t>
  </si>
  <si>
    <t>EXO 3-002</t>
  </si>
  <si>
    <t>5 - 1 - 2026</t>
  </si>
  <si>
    <t>شهر 1 2026</t>
  </si>
  <si>
    <t>نسرين عمر محمد</t>
  </si>
  <si>
    <t>7|</t>
  </si>
  <si>
    <t>7 - 1 - 2026</t>
  </si>
  <si>
    <t xml:space="preserve">وفيه عمر </t>
  </si>
  <si>
    <t>EXO 3-001</t>
  </si>
  <si>
    <t>9 - 1 - 2026</t>
  </si>
  <si>
    <t xml:space="preserve">هويده رافع </t>
  </si>
  <si>
    <t xml:space="preserve">مركز ايار </t>
  </si>
  <si>
    <t>5X32|</t>
  </si>
  <si>
    <t>13 - 1 - 2026</t>
  </si>
  <si>
    <t>الحاج محمد</t>
  </si>
  <si>
    <t xml:space="preserve"> 6 5 4 3 2 1 | 1 2 3 4 5 6</t>
  </si>
  <si>
    <t>ملغي / تأخير</t>
  </si>
  <si>
    <t>دينون</t>
  </si>
  <si>
    <r>
      <rPr>
        <b/>
        <u/>
        <sz val="11"/>
        <color rgb="FF000000"/>
        <rFont val="Calibri"/>
        <family val="2"/>
        <scheme val="minor"/>
      </rPr>
      <t xml:space="preserve">2 x | </t>
    </r>
    <r>
      <rPr>
        <u/>
        <sz val="11"/>
        <color rgb="FF000000"/>
        <rFont val="Calibri"/>
        <family val="2"/>
        <scheme val="minor"/>
      </rPr>
      <t>1</t>
    </r>
  </si>
  <si>
    <t>24 - 1 - 2026</t>
  </si>
  <si>
    <t>مروه علي قريره</t>
  </si>
  <si>
    <t>سميرة الشيباني</t>
  </si>
  <si>
    <t>|6</t>
  </si>
  <si>
    <t>26 - 1 - 2026</t>
  </si>
  <si>
    <t>بهيجة</t>
  </si>
  <si>
    <t>رانيا شنيب</t>
  </si>
  <si>
    <r>
      <rPr>
        <b/>
        <u/>
        <sz val="11"/>
        <color theme="1"/>
        <rFont val="Calibri"/>
        <family val="2"/>
        <scheme val="minor"/>
      </rPr>
      <t>5|</t>
    </r>
    <r>
      <rPr>
        <sz val="11"/>
        <color theme="1"/>
        <rFont val="Calibri"/>
        <family val="2"/>
        <scheme val="minor"/>
      </rPr>
      <t xml:space="preserve">   </t>
    </r>
    <r>
      <rPr>
        <b/>
        <u/>
        <sz val="11"/>
        <color theme="1"/>
        <rFont val="Calibri"/>
        <family val="2"/>
        <scheme val="minor"/>
      </rPr>
      <t>4 3|</t>
    </r>
    <r>
      <rPr>
        <b/>
        <sz val="11"/>
        <color theme="1"/>
        <rFont val="Calibri"/>
        <family val="2"/>
        <scheme val="minor"/>
      </rPr>
      <t xml:space="preserve">   </t>
    </r>
    <r>
      <rPr>
        <sz val="11"/>
        <color theme="1"/>
        <rFont val="Calibri"/>
        <family val="2"/>
        <scheme val="minor"/>
      </rPr>
      <t xml:space="preserve"> </t>
    </r>
    <r>
      <rPr>
        <b/>
        <u/>
        <sz val="11"/>
        <color theme="1"/>
        <rFont val="Calibri"/>
        <family val="2"/>
        <scheme val="minor"/>
      </rPr>
      <t>|  3</t>
    </r>
  </si>
  <si>
    <t>مرحلة لشهر 2</t>
  </si>
  <si>
    <t>29 - 1 - 2026</t>
  </si>
  <si>
    <t>فتحية عمر</t>
  </si>
  <si>
    <r>
      <t>|_</t>
    </r>
    <r>
      <rPr>
        <u/>
        <sz val="11"/>
        <color theme="1"/>
        <rFont val="Calibri"/>
        <family val="2"/>
        <scheme val="minor"/>
      </rPr>
      <t>4__</t>
    </r>
  </si>
  <si>
    <t>31 - 1 - 2026</t>
  </si>
  <si>
    <t>معتوق مصباح</t>
  </si>
  <si>
    <r>
      <t>6</t>
    </r>
    <r>
      <rPr>
        <sz val="14"/>
        <color theme="1"/>
        <rFont val="Calibri"/>
        <family val="2"/>
        <scheme val="minor"/>
      </rPr>
      <t>|</t>
    </r>
  </si>
  <si>
    <t>زينب محمد عمر</t>
  </si>
  <si>
    <t>ابتسام</t>
  </si>
  <si>
    <t>6|</t>
  </si>
  <si>
    <t>سعاد البهلول</t>
  </si>
  <si>
    <t>3 - 2 - 2026</t>
  </si>
  <si>
    <t>حالة 154</t>
  </si>
  <si>
    <t>عمل موك اب</t>
  </si>
  <si>
    <t>31 -1 - 2026</t>
  </si>
  <si>
    <r>
      <t>|</t>
    </r>
    <r>
      <rPr>
        <u/>
        <sz val="11"/>
        <color theme="1"/>
        <rFont val="Calibri"/>
        <family val="2"/>
        <scheme val="minor"/>
      </rPr>
      <t>5_</t>
    </r>
  </si>
  <si>
    <t>11 - 2 - 2026</t>
  </si>
  <si>
    <t>رمضان المصري</t>
  </si>
  <si>
    <r>
      <t xml:space="preserve">7 </t>
    </r>
    <r>
      <rPr>
        <sz val="14"/>
        <color theme="1"/>
        <rFont val="Calibri"/>
        <family val="2"/>
        <scheme val="minor"/>
      </rPr>
      <t>|</t>
    </r>
    <r>
      <rPr>
        <sz val="11"/>
        <color theme="1"/>
        <rFont val="Calibri"/>
        <family val="2"/>
        <scheme val="minor"/>
      </rPr>
      <t xml:space="preserve"> 7</t>
    </r>
  </si>
  <si>
    <t>ملغي / اعادة مرتين</t>
  </si>
  <si>
    <t>12 - 2 - 2026</t>
  </si>
  <si>
    <t xml:space="preserve">سحر </t>
  </si>
  <si>
    <t>1 | 1</t>
  </si>
  <si>
    <t>مجانية / دعاية</t>
  </si>
  <si>
    <t>14 - 2 - 2026</t>
  </si>
  <si>
    <t>الاء سالم</t>
  </si>
  <si>
    <r>
      <t xml:space="preserve">3 2 1 </t>
    </r>
    <r>
      <rPr>
        <sz val="14"/>
        <color theme="1"/>
        <rFont val="Calibri"/>
        <family val="2"/>
        <scheme val="minor"/>
      </rPr>
      <t>|</t>
    </r>
    <r>
      <rPr>
        <sz val="11"/>
        <color theme="1"/>
        <rFont val="Calibri"/>
        <family val="2"/>
        <scheme val="minor"/>
      </rPr>
      <t xml:space="preserve"> x 2</t>
    </r>
  </si>
  <si>
    <t>15 - 2 - 2026</t>
  </si>
  <si>
    <t>اكرم المهدي التير</t>
  </si>
  <si>
    <t>3 2 1|</t>
  </si>
  <si>
    <t>16 - 2 - 2026</t>
  </si>
  <si>
    <t>احمد</t>
  </si>
  <si>
    <t>5|</t>
  </si>
  <si>
    <t>17 - 2 - 2026</t>
  </si>
  <si>
    <t>نادية الصديق</t>
  </si>
  <si>
    <t>مثبت تقويم UPPER &amp; LOWER</t>
  </si>
  <si>
    <t>1 - 3 - 2026</t>
  </si>
  <si>
    <t>P.F.M</t>
  </si>
  <si>
    <t>28 - 2 - 2026</t>
  </si>
  <si>
    <t xml:space="preserve">مبروكة ابراهيم </t>
  </si>
  <si>
    <r>
      <rPr>
        <sz val="11"/>
        <color rgb="FF000000"/>
        <rFont val="Calibri"/>
        <family val="2"/>
        <scheme val="minor"/>
      </rPr>
      <t xml:space="preserve">7 6 5 4 </t>
    </r>
    <r>
      <rPr>
        <sz val="14"/>
        <color rgb="FF000000"/>
        <rFont val="Calibri"/>
        <family val="2"/>
        <scheme val="minor"/>
      </rPr>
      <t>|</t>
    </r>
    <r>
      <rPr>
        <sz val="11"/>
        <color rgb="FF000000"/>
        <rFont val="Calibri"/>
        <family val="2"/>
        <scheme val="minor"/>
      </rPr>
      <t xml:space="preserve"> </t>
    </r>
  </si>
  <si>
    <t>2 - 3 - 2026</t>
  </si>
  <si>
    <t>سعاد</t>
  </si>
  <si>
    <t>Porcalin (PFM)</t>
  </si>
  <si>
    <t>|6___</t>
  </si>
  <si>
    <t>كانت زركون و لم تنزل ، و تم اعادتها بالخزف (مجاني)</t>
  </si>
  <si>
    <t>20-9-2025</t>
  </si>
  <si>
    <t>شهر 9 2025</t>
  </si>
  <si>
    <t>مجهول</t>
  </si>
  <si>
    <t>تبييض منزلي</t>
  </si>
  <si>
    <t>upper + lower</t>
  </si>
  <si>
    <t>18-9-2025</t>
  </si>
  <si>
    <t xml:space="preserve">حمزه عامر الطوير </t>
  </si>
  <si>
    <t>نورس</t>
  </si>
  <si>
    <r>
      <t>3_2_1_</t>
    </r>
    <r>
      <rPr>
        <b/>
        <u/>
        <sz val="12"/>
        <color theme="1"/>
        <rFont val="Calibri"/>
        <family val="2"/>
        <scheme val="minor"/>
      </rPr>
      <t>|</t>
    </r>
    <r>
      <rPr>
        <u/>
        <sz val="11"/>
        <color theme="1"/>
        <rFont val="Calibri"/>
        <family val="2"/>
        <scheme val="minor"/>
      </rPr>
      <t>_1_2_3</t>
    </r>
  </si>
  <si>
    <t>مجاني</t>
  </si>
  <si>
    <t>21-9-2025</t>
  </si>
  <si>
    <t>أبو بكر الحجاجي</t>
  </si>
  <si>
    <t>6_5_|</t>
  </si>
  <si>
    <t>منى عامر العلوي</t>
  </si>
  <si>
    <r>
      <t>|_</t>
    </r>
    <r>
      <rPr>
        <u/>
        <sz val="11"/>
        <color theme="1"/>
        <rFont val="Calibri"/>
        <family val="2"/>
        <scheme val="minor"/>
      </rPr>
      <t>2_X_X_5_</t>
    </r>
  </si>
  <si>
    <t>X-9-2025</t>
  </si>
  <si>
    <t>سالمه</t>
  </si>
  <si>
    <r>
      <t>_</t>
    </r>
    <r>
      <rPr>
        <u/>
        <sz val="11"/>
        <color theme="1"/>
        <rFont val="Calibri"/>
        <family val="2"/>
        <scheme val="minor"/>
      </rPr>
      <t>4_3_2_1</t>
    </r>
    <r>
      <rPr>
        <sz val="11"/>
        <color theme="1"/>
        <rFont val="Calibri"/>
        <family val="2"/>
        <scheme val="minor"/>
      </rPr>
      <t xml:space="preserve"> </t>
    </r>
    <r>
      <rPr>
        <b/>
        <u/>
        <sz val="11"/>
        <color theme="1"/>
        <rFont val="Calibri"/>
        <family val="2"/>
        <scheme val="minor"/>
      </rPr>
      <t>|</t>
    </r>
    <r>
      <rPr>
        <sz val="11"/>
        <color theme="1"/>
        <rFont val="Calibri"/>
        <family val="2"/>
        <scheme val="minor"/>
      </rPr>
      <t xml:space="preserve"> </t>
    </r>
    <r>
      <rPr>
        <u/>
        <sz val="11"/>
        <color theme="1"/>
        <rFont val="Calibri"/>
        <family val="2"/>
        <scheme val="minor"/>
      </rPr>
      <t>1_2_3_4</t>
    </r>
  </si>
  <si>
    <t>22-9-2025</t>
  </si>
  <si>
    <t>ثريا الزغداني</t>
  </si>
  <si>
    <r>
      <t>|</t>
    </r>
    <r>
      <rPr>
        <u/>
        <sz val="11"/>
        <color theme="1"/>
        <rFont val="Calibri"/>
        <family val="2"/>
        <scheme val="minor"/>
      </rPr>
      <t>3_X_5_</t>
    </r>
  </si>
  <si>
    <t>23-9-2025</t>
  </si>
  <si>
    <t>سميره سعد محمد</t>
  </si>
  <si>
    <r>
      <t>|_</t>
    </r>
    <r>
      <rPr>
        <u/>
        <sz val="11"/>
        <color theme="1"/>
        <rFont val="Calibri"/>
        <family val="2"/>
        <scheme val="minor"/>
      </rPr>
      <t>1_X_3</t>
    </r>
  </si>
  <si>
    <t>25-9-2025</t>
  </si>
  <si>
    <t>ريما الكوت</t>
  </si>
  <si>
    <t>وليد</t>
  </si>
  <si>
    <t>خاص</t>
  </si>
  <si>
    <t>SCREW RETAINED ZIRCONIA 
INTRA-ORAL SCAN
Ti-Base B&amp;B SP HEX</t>
  </si>
  <si>
    <r>
      <t>_</t>
    </r>
    <r>
      <rPr>
        <u/>
        <sz val="11"/>
        <color theme="1"/>
        <rFont val="Calibri"/>
        <family val="2"/>
        <scheme val="minor"/>
      </rPr>
      <t>5_4|4_5</t>
    </r>
  </si>
  <si>
    <t>24-9-2025</t>
  </si>
  <si>
    <t>رجاء عبد الحميد</t>
  </si>
  <si>
    <t>نورس العامري</t>
  </si>
  <si>
    <t>2-10-2025 | الخميس
5-10-2025 | الاحد</t>
  </si>
  <si>
    <t>شهر 10 2025</t>
  </si>
  <si>
    <t>يقين سليمان</t>
  </si>
  <si>
    <t>4-10-2025 | السبت
6-10-2025 | الاثنين</t>
  </si>
  <si>
    <t>منيرة سالم بركة</t>
  </si>
  <si>
    <r>
      <t>|</t>
    </r>
    <r>
      <rPr>
        <u/>
        <sz val="11"/>
        <color theme="1"/>
        <rFont val="Calibri"/>
        <family val="2"/>
        <scheme val="minor"/>
      </rPr>
      <t>2_</t>
    </r>
  </si>
  <si>
    <t>5-10-2025 | الاحد
7-10-2025 | الثلاثاء</t>
  </si>
  <si>
    <t>حنان عمر الغراري</t>
  </si>
  <si>
    <r>
      <t>|</t>
    </r>
    <r>
      <rPr>
        <u/>
        <sz val="11"/>
        <color theme="1"/>
        <rFont val="Calibri"/>
        <family val="2"/>
        <scheme val="minor"/>
      </rPr>
      <t>1 X 3</t>
    </r>
  </si>
  <si>
    <t>6-10-2025 | الاثنين
8-10-2025 | الأربعاء</t>
  </si>
  <si>
    <t>المبروك الامام</t>
  </si>
  <si>
    <t>احمد البكوش</t>
  </si>
  <si>
    <t>SCREW RETAINED ZIRCONIA</t>
  </si>
  <si>
    <t>7 6 |</t>
  </si>
  <si>
    <t>2xanalog - 2xpost impression + 2 abutments من الزبون</t>
  </si>
  <si>
    <t>6-10-2025 | الاثنين
9-10-2025 الخميس</t>
  </si>
  <si>
    <t>حميده عامر</t>
  </si>
  <si>
    <r>
      <t xml:space="preserve">4 </t>
    </r>
    <r>
      <rPr>
        <sz val="14"/>
        <color theme="1"/>
        <rFont val="Calibri"/>
        <family val="2"/>
        <scheme val="minor"/>
      </rPr>
      <t>|</t>
    </r>
    <r>
      <rPr>
        <sz val="11"/>
        <color theme="1"/>
        <rFont val="Calibri"/>
        <family val="2"/>
        <scheme val="minor"/>
      </rPr>
      <t xml:space="preserve"> 6 7</t>
    </r>
  </si>
  <si>
    <t>ROOTT IMPLANT</t>
  </si>
  <si>
    <t>8-10-2025 | الأربعاء
14-10-2025 | الثلاثاء</t>
  </si>
  <si>
    <t>ونيس سعيد محمد</t>
  </si>
  <si>
    <r>
      <rPr>
        <sz val="16"/>
        <color theme="1"/>
        <rFont val="Calibri"/>
        <family val="2"/>
        <scheme val="minor"/>
      </rPr>
      <t>|</t>
    </r>
    <r>
      <rPr>
        <sz val="11"/>
        <color theme="1"/>
        <rFont val="Calibri"/>
        <family val="2"/>
        <scheme val="minor"/>
      </rPr>
      <t>6</t>
    </r>
  </si>
  <si>
    <t>10-10-2025 | الخميس
12-10-2025 الاحد</t>
  </si>
  <si>
    <t>اسعد محمد</t>
  </si>
  <si>
    <r>
      <t>|_</t>
    </r>
    <r>
      <rPr>
        <u/>
        <sz val="11"/>
        <color theme="1"/>
        <rFont val="Calibri"/>
        <family val="2"/>
        <scheme val="minor"/>
      </rPr>
      <t>6__</t>
    </r>
  </si>
  <si>
    <t>12-10-2025 | الاحد
14-10-2025 | الثلاثاء</t>
  </si>
  <si>
    <t>مريم ناجي العجيلي</t>
  </si>
  <si>
    <t>5 4 _ 2__|</t>
  </si>
  <si>
    <t>عايدة علي شكشك</t>
  </si>
  <si>
    <t>3 2 1 | 1 2 x</t>
  </si>
  <si>
    <t>ملغي</t>
  </si>
  <si>
    <t>16-10-2025 الخميس
21-10-2025 الثلاثاء</t>
  </si>
  <si>
    <t>امنه الشبلي</t>
  </si>
  <si>
    <t>4 3 X |</t>
  </si>
  <si>
    <t>19-10-2025 الاحد
21-10-2025 الثلاثاء</t>
  </si>
  <si>
    <t>فتحي عبد الله</t>
  </si>
  <si>
    <t>| 5X7</t>
  </si>
  <si>
    <t>2xAbutment
2xpost impression
ROOTT</t>
  </si>
  <si>
    <t>20-10-2025 الاثنين
22-10-2025 الاربعاء</t>
  </si>
  <si>
    <t>عبد الحكيم الزياني</t>
  </si>
  <si>
    <r>
      <t>|</t>
    </r>
    <r>
      <rPr>
        <u/>
        <sz val="11"/>
        <color theme="1"/>
        <rFont val="Calibri"/>
        <family val="2"/>
        <scheme val="minor"/>
      </rPr>
      <t xml:space="preserve"> 5</t>
    </r>
  </si>
  <si>
    <t>ملغي لانكسار السن مرتين</t>
  </si>
  <si>
    <t>25-10-2025 السبت</t>
  </si>
  <si>
    <t>ترحيل شهر 11</t>
  </si>
  <si>
    <t>زينب حامد عريبي</t>
  </si>
  <si>
    <r>
      <t xml:space="preserve">7 x x 4_|
</t>
    </r>
    <r>
      <rPr>
        <sz val="11"/>
        <color theme="1"/>
        <rFont val="Calibri"/>
        <family val="2"/>
        <scheme val="minor"/>
      </rPr>
      <t xml:space="preserve">6 5 4 </t>
    </r>
    <r>
      <rPr>
        <sz val="14"/>
        <color theme="1"/>
        <rFont val="Calibri"/>
        <family val="2"/>
        <scheme val="minor"/>
      </rPr>
      <t>|</t>
    </r>
  </si>
  <si>
    <t>25-10-2025 السبت
تم التسليم</t>
  </si>
  <si>
    <t>الساكته المشري</t>
  </si>
  <si>
    <t>مؤقت
ZIRCONIA FULL ANATOMY</t>
  </si>
  <si>
    <t>4 3 x 1 | 1 2 x x x 6</t>
  </si>
  <si>
    <t>معاه جسر خزفي قديم</t>
  </si>
  <si>
    <t>27-10-2025 الاثنين</t>
  </si>
  <si>
    <r>
      <rPr>
        <sz val="11"/>
        <color theme="1"/>
        <rFont val="Calibri"/>
        <family val="2"/>
        <scheme val="minor"/>
      </rPr>
      <t>4</t>
    </r>
    <r>
      <rPr>
        <u/>
        <sz val="14"/>
        <color theme="1"/>
        <rFont val="Calibri"/>
        <family val="2"/>
        <scheme val="minor"/>
      </rPr>
      <t>|</t>
    </r>
  </si>
  <si>
    <t>28-10-2025 الثلاثاء
1-11-2025 السبت</t>
  </si>
  <si>
    <t>السيده عبد الله الحنيش</t>
  </si>
  <si>
    <r>
      <t xml:space="preserve">6 </t>
    </r>
    <r>
      <rPr>
        <sz val="16"/>
        <color theme="1"/>
        <rFont val="Calibri"/>
        <family val="2"/>
        <scheme val="minor"/>
      </rPr>
      <t>|</t>
    </r>
  </si>
  <si>
    <t>29-10-2025 الأربعاء
2-11-2025 الاحد</t>
  </si>
  <si>
    <t>شريفه العماري</t>
  </si>
  <si>
    <t>فتحيه نجم</t>
  </si>
  <si>
    <r>
      <t xml:space="preserve">7 6 </t>
    </r>
    <r>
      <rPr>
        <sz val="16"/>
        <color theme="1"/>
        <rFont val="Calibri"/>
        <family val="2"/>
        <scheme val="minor"/>
      </rPr>
      <t>|</t>
    </r>
    <r>
      <rPr>
        <sz val="11"/>
        <color theme="1"/>
        <rFont val="Calibri"/>
        <family val="2"/>
        <scheme val="minor"/>
      </rPr>
      <t xml:space="preserve"> 6</t>
    </r>
  </si>
  <si>
    <t>4-11-2025 الثلاثاء
8-11-2025 السبت</t>
  </si>
  <si>
    <t>شهر 11 2025</t>
  </si>
  <si>
    <t>ليالي جمال</t>
  </si>
  <si>
    <r>
      <rPr>
        <b/>
        <sz val="14"/>
        <color theme="1"/>
        <rFont val="Calibri"/>
        <family val="2"/>
        <scheme val="minor"/>
      </rPr>
      <t>|</t>
    </r>
    <r>
      <rPr>
        <sz val="11"/>
        <color theme="1"/>
        <rFont val="Calibri"/>
        <family val="2"/>
        <scheme val="minor"/>
      </rPr>
      <t xml:space="preserve"> 6 7 8</t>
    </r>
  </si>
  <si>
    <t xml:space="preserve">8-11-2025 السبت
</t>
  </si>
  <si>
    <t>مؤقت تجريبي
ZIRCONIA FULL ANATOMY</t>
  </si>
  <si>
    <r>
      <t xml:space="preserve">3 2 1 </t>
    </r>
    <r>
      <rPr>
        <sz val="14"/>
        <color theme="1"/>
        <rFont val="Calibri"/>
        <family val="2"/>
        <scheme val="minor"/>
      </rPr>
      <t>|</t>
    </r>
    <r>
      <rPr>
        <sz val="11"/>
        <color theme="1"/>
        <rFont val="Calibri"/>
        <family val="2"/>
        <scheme val="minor"/>
      </rPr>
      <t xml:space="preserve"> 1 2</t>
    </r>
  </si>
  <si>
    <t>8-11-2025 السبت
تم التسليم</t>
  </si>
  <si>
    <t>صبرية الطبييب</t>
  </si>
  <si>
    <t>ZIRCON OVER IMPLANT</t>
  </si>
  <si>
    <r>
      <t xml:space="preserve">6-1 </t>
    </r>
    <r>
      <rPr>
        <sz val="16"/>
        <color theme="1"/>
        <rFont val="Calibri"/>
        <family val="2"/>
        <scheme val="minor"/>
      </rPr>
      <t>|</t>
    </r>
    <r>
      <rPr>
        <sz val="11"/>
        <color theme="1"/>
        <rFont val="Calibri"/>
        <family val="2"/>
        <scheme val="minor"/>
      </rPr>
      <t xml:space="preserve"> 1-6</t>
    </r>
  </si>
  <si>
    <t>11-11-2025 الثلاثاء
16-11-2025 الاحد</t>
  </si>
  <si>
    <t>سهيلة</t>
  </si>
  <si>
    <r>
      <t>|</t>
    </r>
    <r>
      <rPr>
        <sz val="11"/>
        <color theme="1"/>
        <rFont val="Calibri"/>
        <family val="2"/>
        <scheme val="minor"/>
      </rPr>
      <t>3</t>
    </r>
  </si>
  <si>
    <t>صورة</t>
  </si>
  <si>
    <t>11-11-2025 الثلاثاء
15-11-2025 السبت</t>
  </si>
  <si>
    <t>هناء محمد</t>
  </si>
  <si>
    <t>5 X |</t>
  </si>
  <si>
    <t>11-11-2025 الاحد
15-11-2025 السبت</t>
  </si>
  <si>
    <t>صبا عز الدين</t>
  </si>
  <si>
    <t>1 |</t>
  </si>
  <si>
    <t>A1</t>
  </si>
  <si>
    <t>22-11-2025 السبت</t>
  </si>
  <si>
    <t>ربيع</t>
  </si>
  <si>
    <r>
      <t xml:space="preserve">6 5 </t>
    </r>
    <r>
      <rPr>
        <sz val="16"/>
        <color theme="1"/>
        <rFont val="Calibri"/>
        <family val="2"/>
        <scheme val="minor"/>
      </rPr>
      <t>|</t>
    </r>
  </si>
  <si>
    <t xml:space="preserve">3-12-2025 </t>
  </si>
  <si>
    <t>شهر 12 2025</t>
  </si>
  <si>
    <t>مروة قديرة</t>
  </si>
  <si>
    <t>اسماء عمر اباهيم</t>
  </si>
  <si>
    <t>4 |</t>
  </si>
  <si>
    <t>9-12-2025</t>
  </si>
  <si>
    <t>ايمن محمد</t>
  </si>
  <si>
    <t>واقي ليلي</t>
  </si>
  <si>
    <t>سمية منصور</t>
  </si>
  <si>
    <r>
      <t>7</t>
    </r>
    <r>
      <rPr>
        <sz val="14"/>
        <color theme="1"/>
        <rFont val="Calibri"/>
        <family val="2"/>
        <scheme val="minor"/>
      </rPr>
      <t>|</t>
    </r>
  </si>
  <si>
    <t>10-12-2025</t>
  </si>
  <si>
    <t>منال علي</t>
  </si>
  <si>
    <t>5 |</t>
  </si>
  <si>
    <t>13-12-2025</t>
  </si>
  <si>
    <t>شريفة العماري</t>
  </si>
  <si>
    <r>
      <t>|3</t>
    </r>
    <r>
      <rPr>
        <u/>
        <sz val="11"/>
        <color theme="1"/>
        <rFont val="Calibri"/>
        <family val="2"/>
        <scheme val="minor"/>
      </rPr>
      <t xml:space="preserve"> X 5</t>
    </r>
  </si>
  <si>
    <t>21-12-2025</t>
  </si>
  <si>
    <t>دعاء نور الدين</t>
  </si>
  <si>
    <r>
      <t>|_</t>
    </r>
    <r>
      <rPr>
        <u/>
        <sz val="11"/>
        <color theme="1"/>
        <rFont val="Calibri"/>
        <family val="2"/>
        <scheme val="minor"/>
      </rPr>
      <t>7__</t>
    </r>
  </si>
  <si>
    <t>23-12-2025
25-12-2025</t>
  </si>
  <si>
    <t>حسين الفيتوري</t>
  </si>
  <si>
    <r>
      <t>|_</t>
    </r>
    <r>
      <rPr>
        <u/>
        <sz val="11"/>
        <color theme="1"/>
        <rFont val="Calibri"/>
        <family val="2"/>
        <scheme val="minor"/>
      </rPr>
      <t xml:space="preserve">3__
</t>
    </r>
    <r>
      <rPr>
        <sz val="16"/>
        <color theme="1"/>
        <rFont val="Calibri"/>
        <family val="2"/>
        <scheme val="minor"/>
      </rPr>
      <t>|</t>
    </r>
    <r>
      <rPr>
        <sz val="11"/>
        <color theme="1"/>
        <rFont val="Calibri"/>
        <family val="2"/>
        <scheme val="minor"/>
      </rPr>
      <t>5</t>
    </r>
  </si>
  <si>
    <t>22-12-2025
25-12-2025</t>
  </si>
  <si>
    <t>ساره جمعه</t>
  </si>
  <si>
    <r>
      <t>|</t>
    </r>
    <r>
      <rPr>
        <u/>
        <sz val="11"/>
        <color theme="1"/>
        <rFont val="Calibri"/>
        <family val="2"/>
        <scheme val="minor"/>
      </rPr>
      <t>4 X</t>
    </r>
  </si>
  <si>
    <t>24-12-2025
25-12-2025</t>
  </si>
  <si>
    <t>نسرين عمر</t>
  </si>
  <si>
    <r>
      <t>6 5 4</t>
    </r>
    <r>
      <rPr>
        <sz val="18"/>
        <color theme="1"/>
        <rFont val="Calibri"/>
        <family val="2"/>
        <scheme val="minor"/>
      </rPr>
      <t>|</t>
    </r>
  </si>
  <si>
    <t>29 - 12- 2025</t>
  </si>
  <si>
    <t>بشرى طه</t>
  </si>
  <si>
    <t>ابو بكر الشريف</t>
  </si>
  <si>
    <r>
      <t xml:space="preserve">5 x 3 2 </t>
    </r>
    <r>
      <rPr>
        <sz val="14"/>
        <color rgb="FF000000"/>
        <rFont val="Calibri"/>
        <family val="2"/>
        <scheme val="minor"/>
      </rPr>
      <t>|</t>
    </r>
    <r>
      <rPr>
        <sz val="11"/>
        <color rgb="FF000000"/>
        <rFont val="Calibri"/>
        <family val="2"/>
        <scheme val="minor"/>
      </rPr>
      <t xml:space="preserve"> </t>
    </r>
  </si>
  <si>
    <t>فتحية مسعود</t>
  </si>
  <si>
    <t xml:space="preserve">ابتسام </t>
  </si>
  <si>
    <r>
      <rPr>
        <b/>
        <sz val="11"/>
        <color theme="1"/>
        <rFont val="Calibri"/>
        <family val="2"/>
        <scheme val="minor"/>
      </rPr>
      <t>4 3 2 1</t>
    </r>
    <r>
      <rPr>
        <b/>
        <sz val="16"/>
        <color theme="1"/>
        <rFont val="Calibri"/>
        <family val="2"/>
        <scheme val="minor"/>
      </rPr>
      <t xml:space="preserve"> |</t>
    </r>
    <r>
      <rPr>
        <sz val="12"/>
        <color theme="1"/>
        <rFont val="Calibri"/>
        <family val="2"/>
        <scheme val="minor"/>
      </rPr>
      <t>1 2 3 4</t>
    </r>
  </si>
  <si>
    <t>4 - 3 - 2026</t>
  </si>
  <si>
    <t>اكرام الرويمي</t>
  </si>
  <si>
    <r>
      <rPr>
        <b/>
        <sz val="11"/>
        <color theme="1"/>
        <rFont val="Calibri"/>
        <family val="2"/>
        <scheme val="minor"/>
      </rPr>
      <t xml:space="preserve"> 3 2 1</t>
    </r>
    <r>
      <rPr>
        <b/>
        <sz val="16"/>
        <color theme="1"/>
        <rFont val="Calibri"/>
        <family val="2"/>
        <scheme val="minor"/>
      </rPr>
      <t xml:space="preserve"> |</t>
    </r>
    <r>
      <rPr>
        <sz val="12"/>
        <color theme="1"/>
        <rFont val="Calibri"/>
        <family val="2"/>
        <scheme val="minor"/>
      </rPr>
      <t xml:space="preserve">1 2 3 </t>
    </r>
  </si>
  <si>
    <t>مهند القذافي</t>
  </si>
  <si>
    <t>5 4 |</t>
  </si>
  <si>
    <t>8 - 3 - 2026</t>
  </si>
  <si>
    <t>|1 x 3 x x 6</t>
  </si>
  <si>
    <t>A4</t>
  </si>
  <si>
    <t>A2</t>
  </si>
  <si>
    <t>ثريا اللافي</t>
  </si>
  <si>
    <t>محمد اسماعيل</t>
  </si>
  <si>
    <t>5  |</t>
  </si>
  <si>
    <t>A2/120</t>
  </si>
  <si>
    <t>24 - 3 -2026</t>
  </si>
  <si>
    <t>محمد سامي</t>
  </si>
  <si>
    <t xml:space="preserve">حواء عبد الرحمن </t>
  </si>
  <si>
    <t xml:space="preserve"> 2 1 | 1 </t>
  </si>
  <si>
    <t xml:space="preserve"> 3 2 1 | 1 2 3</t>
  </si>
  <si>
    <t>ام السعد</t>
  </si>
  <si>
    <t>سميرة حسين</t>
  </si>
  <si>
    <t>نزلت في فاتورة شهر 2</t>
  </si>
  <si>
    <t>شهر 2 2026</t>
  </si>
  <si>
    <t>شهر 3 2026</t>
  </si>
  <si>
    <t xml:space="preserve">محود عياد </t>
  </si>
  <si>
    <t>مرحلة لشهر 4</t>
  </si>
  <si>
    <t>3  |</t>
  </si>
  <si>
    <t>29 - 3 - 2026</t>
  </si>
  <si>
    <t>اية</t>
  </si>
  <si>
    <t>6  |</t>
  </si>
  <si>
    <t>31 - 3 - 2026</t>
  </si>
  <si>
    <t>هائل</t>
  </si>
  <si>
    <t>1  |</t>
  </si>
  <si>
    <t xml:space="preserve">ايناس حسن </t>
  </si>
  <si>
    <t>شهر 4 2026</t>
  </si>
  <si>
    <t xml:space="preserve">محمود عياد </t>
  </si>
  <si>
    <r>
      <t xml:space="preserve"> 3  | </t>
    </r>
    <r>
      <rPr>
        <sz val="16"/>
        <color theme="1"/>
        <rFont val="Calibri"/>
        <family val="2"/>
        <scheme val="minor"/>
      </rPr>
      <t xml:space="preserve">ميرلاند </t>
    </r>
  </si>
  <si>
    <t xml:space="preserve">امنيوة المصراتي </t>
  </si>
  <si>
    <t>4  |</t>
  </si>
  <si>
    <t>1 - 4 - 2026</t>
  </si>
  <si>
    <t>نرجس</t>
  </si>
  <si>
    <t>7 - 4 - 2026</t>
  </si>
  <si>
    <t>رغدة ابراهيم</t>
  </si>
  <si>
    <t>مركز الحمادي</t>
  </si>
  <si>
    <t>رحاب عبد الرزاق</t>
  </si>
  <si>
    <t>2  |</t>
  </si>
  <si>
    <r>
      <t>|_2</t>
    </r>
    <r>
      <rPr>
        <u/>
        <sz val="11"/>
        <color theme="1"/>
        <rFont val="Calibri"/>
        <family val="2"/>
        <scheme val="minor"/>
      </rPr>
      <t>__</t>
    </r>
  </si>
  <si>
    <t>8 - 4 - 2026</t>
  </si>
  <si>
    <t>لطيفة الشريف</t>
  </si>
  <si>
    <t xml:space="preserve">ميلاد </t>
  </si>
  <si>
    <t>مركز المجد</t>
  </si>
  <si>
    <t>|4 5</t>
  </si>
  <si>
    <t>9 - 4 - 2026</t>
  </si>
  <si>
    <t>هيثم الطوير</t>
  </si>
  <si>
    <t>علي الغناي</t>
  </si>
  <si>
    <t xml:space="preserve"> 6 5 4 |</t>
  </si>
  <si>
    <t>على حساب هيثم</t>
  </si>
  <si>
    <t>فاطمة المشاي</t>
  </si>
  <si>
    <t>مركز فينير</t>
  </si>
  <si>
    <t>10 - 4 - 2026</t>
  </si>
  <si>
    <t xml:space="preserve">وسام منصور </t>
  </si>
  <si>
    <t>7  |</t>
  </si>
  <si>
    <t>13 - 4 - 2026</t>
  </si>
  <si>
    <t>مؤقت</t>
  </si>
  <si>
    <t>14 - 4 - 2026</t>
  </si>
  <si>
    <t>تمت الاعادة مرة</t>
  </si>
  <si>
    <t>18 - 4 - 2026</t>
  </si>
  <si>
    <t>صلاح الدين الهاشمي</t>
  </si>
  <si>
    <t>الزنتان</t>
  </si>
  <si>
    <t>فلوس عند رحيم 200</t>
  </si>
  <si>
    <t>19 - 4 - 2026</t>
  </si>
  <si>
    <t>21 - 4 - 2026</t>
  </si>
  <si>
    <t>22 - 4 - 2026</t>
  </si>
  <si>
    <t xml:space="preserve">علي قريرة </t>
  </si>
  <si>
    <t>مركز الماسة</t>
  </si>
  <si>
    <t>Screw retained</t>
  </si>
  <si>
    <r>
      <t xml:space="preserve">7 6 </t>
    </r>
    <r>
      <rPr>
        <sz val="14"/>
        <color rgb="FF000000"/>
        <rFont val="Calibri"/>
        <family val="2"/>
        <scheme val="minor"/>
      </rPr>
      <t>|</t>
    </r>
    <r>
      <rPr>
        <sz val="11"/>
        <color rgb="FF000000"/>
        <rFont val="Calibri"/>
        <family val="2"/>
        <scheme val="minor"/>
      </rPr>
      <t xml:space="preserve"> </t>
    </r>
  </si>
  <si>
    <t xml:space="preserve">بشرى طه </t>
  </si>
  <si>
    <t xml:space="preserve">High Translucency Zirconia </t>
  </si>
  <si>
    <t xml:space="preserve">  3 2 1 | 1 2 3</t>
  </si>
  <si>
    <t>بلعيد سالم</t>
  </si>
  <si>
    <t>|5 x 7</t>
  </si>
  <si>
    <t>خيري سالم</t>
  </si>
  <si>
    <t>|5 6</t>
  </si>
  <si>
    <t>Intra-Oral</t>
  </si>
  <si>
    <t>وائل</t>
  </si>
  <si>
    <t>منذر بليل</t>
  </si>
  <si>
    <t>5 x 3 2 1 | 1 2 3 x 5</t>
  </si>
  <si>
    <t>3 - 5 - 2026</t>
  </si>
  <si>
    <t>شهر 5 2026</t>
  </si>
  <si>
    <t xml:space="preserve">هناء عبد الله </t>
  </si>
  <si>
    <t>5 4  | 4 5</t>
  </si>
  <si>
    <t>5 - 5 - 2026</t>
  </si>
  <si>
    <t>طه حسين</t>
  </si>
  <si>
    <t>مركز اياب</t>
  </si>
  <si>
    <t>| 4 5 6</t>
  </si>
  <si>
    <t>11 - 5 - 2026</t>
  </si>
  <si>
    <t>احمد ابو غراره</t>
  </si>
  <si>
    <t xml:space="preserve">ميلاد  </t>
  </si>
  <si>
    <r>
      <t xml:space="preserve">7 6 5 4 </t>
    </r>
    <r>
      <rPr>
        <sz val="14"/>
        <color rgb="FF000000"/>
        <rFont val="Calibri"/>
        <family val="2"/>
        <scheme val="minor"/>
      </rPr>
      <t>|</t>
    </r>
    <r>
      <rPr>
        <sz val="11"/>
        <color rgb="FF000000"/>
        <rFont val="Calibri"/>
        <family val="2"/>
        <scheme val="minor"/>
      </rPr>
      <t xml:space="preserve"> </t>
    </r>
  </si>
  <si>
    <t>محمد المجدوب</t>
  </si>
  <si>
    <t>الحاجة عائشة</t>
  </si>
  <si>
    <r>
      <rPr>
        <b/>
        <sz val="11"/>
        <color theme="1"/>
        <rFont val="Calibri"/>
        <family val="2"/>
        <scheme val="minor"/>
      </rPr>
      <t>5 4 3 2 1</t>
    </r>
    <r>
      <rPr>
        <b/>
        <sz val="16"/>
        <color theme="1"/>
        <rFont val="Calibri"/>
        <family val="2"/>
        <scheme val="minor"/>
      </rPr>
      <t xml:space="preserve"> |</t>
    </r>
    <r>
      <rPr>
        <sz val="12"/>
        <color theme="1"/>
        <rFont val="Calibri"/>
        <family val="2"/>
        <scheme val="minor"/>
      </rPr>
      <t>1 2 3 4 5</t>
    </r>
  </si>
  <si>
    <t>18 - 5 - 2026</t>
  </si>
  <si>
    <t xml:space="preserve">مجهول </t>
  </si>
  <si>
    <r>
      <rPr>
        <b/>
        <sz val="11"/>
        <color theme="1"/>
        <rFont val="Calibri"/>
        <family val="2"/>
        <scheme val="minor"/>
      </rPr>
      <t xml:space="preserve"> 4</t>
    </r>
    <r>
      <rPr>
        <b/>
        <sz val="16"/>
        <color theme="1"/>
        <rFont val="Calibri"/>
        <family val="2"/>
        <scheme val="minor"/>
      </rPr>
      <t xml:space="preserve"> |</t>
    </r>
    <r>
      <rPr>
        <sz val="12"/>
        <color theme="1"/>
        <rFont val="Calibri"/>
        <family val="2"/>
        <scheme val="minor"/>
      </rPr>
      <t xml:space="preserve">4 </t>
    </r>
  </si>
  <si>
    <t xml:space="preserve">ايمان ميلاد </t>
  </si>
  <si>
    <t>احلام صالح</t>
  </si>
  <si>
    <t>3 2 1  | 1 2 3</t>
  </si>
  <si>
    <t>19 - 5 - 2026</t>
  </si>
  <si>
    <t xml:space="preserve">احمد محمد </t>
  </si>
  <si>
    <t>|1</t>
  </si>
  <si>
    <t>معتصم خشيبة</t>
  </si>
  <si>
    <t>scan + study cast</t>
  </si>
  <si>
    <t>زبيدة</t>
  </si>
  <si>
    <t>5 4 3 2 1  | 1 2 3 4 5</t>
  </si>
  <si>
    <t>20 - 5 - 2026</t>
  </si>
  <si>
    <t>غزالة مسعود</t>
  </si>
  <si>
    <t>ما نزلتش في الفاتورة لخطأ في المقاس اعادة</t>
  </si>
  <si>
    <t>24 - 5 - 2026</t>
  </si>
  <si>
    <t>شهر 6 2026</t>
  </si>
  <si>
    <t>مسعود مصباح</t>
  </si>
  <si>
    <t>1 - 6 - 2026</t>
  </si>
  <si>
    <t>فاطمة التومي</t>
  </si>
  <si>
    <r>
      <rPr>
        <sz val="18"/>
        <color theme="1"/>
        <rFont val="Calibri"/>
        <family val="2"/>
        <scheme val="minor"/>
      </rPr>
      <t>|</t>
    </r>
    <r>
      <rPr>
        <sz val="16"/>
        <color theme="1"/>
        <rFont val="Calibri"/>
        <family val="2"/>
        <scheme val="minor"/>
      </rPr>
      <t>6</t>
    </r>
  </si>
  <si>
    <t>اماني ابو غرارة</t>
  </si>
  <si>
    <t>|4 5 6</t>
  </si>
  <si>
    <t>نعمة الزايدي</t>
  </si>
  <si>
    <t>3 - 6 - 2026</t>
  </si>
  <si>
    <t>5 4 3| 4 5</t>
  </si>
  <si>
    <t>ZIRCONIA FULL ANATOMY \ P.F.M</t>
  </si>
  <si>
    <t>ايمن</t>
  </si>
  <si>
    <t>معتوق احمدي</t>
  </si>
  <si>
    <t>|5</t>
  </si>
  <si>
    <t>مزن</t>
  </si>
  <si>
    <t>في الفاتورة</t>
  </si>
  <si>
    <t>ايمان محمد</t>
  </si>
  <si>
    <t>1|</t>
  </si>
  <si>
    <t>خليفة عمر</t>
  </si>
  <si>
    <t>|3</t>
  </si>
  <si>
    <t>5 - 6 - 2026</t>
  </si>
  <si>
    <t>8 - 6 - 2026</t>
  </si>
  <si>
    <t>اسماء الفرجاني</t>
  </si>
  <si>
    <t>9 - 6 - 2026</t>
  </si>
  <si>
    <t xml:space="preserve"> 3| 3</t>
  </si>
  <si>
    <t>10 - 6 - 2026</t>
  </si>
  <si>
    <t>|2 3 4</t>
  </si>
  <si>
    <t>14 - 6 - 2026</t>
  </si>
  <si>
    <r>
      <t xml:space="preserve">
</t>
    </r>
    <r>
      <rPr>
        <sz val="12"/>
        <color theme="1"/>
        <rFont val="Calibri"/>
        <family val="2"/>
        <scheme val="minor"/>
      </rPr>
      <t>5 4 3 2 1 1 2 3 4 5</t>
    </r>
  </si>
  <si>
    <t xml:space="preserve"> 6 5 4 3 2 1| 1 2 3 4 5 6</t>
  </si>
  <si>
    <t>عائشة فتحي</t>
  </si>
  <si>
    <t>| 4</t>
  </si>
  <si>
    <t>منال الشاوش</t>
  </si>
  <si>
    <t>15 - 6 - 2026</t>
  </si>
  <si>
    <t xml:space="preserve"> 6 |  6</t>
  </si>
  <si>
    <t>عالي الصلابة</t>
  </si>
  <si>
    <t>خديجة نمرود</t>
  </si>
  <si>
    <t>16 - 6 - 2026</t>
  </si>
  <si>
    <t>|5 6 7</t>
  </si>
  <si>
    <t>17 - 6 - 2026</t>
  </si>
  <si>
    <t>|1 x 3</t>
  </si>
  <si>
    <t xml:space="preserve">اسماء عبد القادر </t>
  </si>
  <si>
    <t>3|</t>
  </si>
  <si>
    <t>خديجة الشعافي</t>
  </si>
  <si>
    <t>20 - 6 - 2026</t>
  </si>
  <si>
    <t>عبد الفتاح عمران</t>
  </si>
  <si>
    <t>21 - 6 - 2026</t>
  </si>
  <si>
    <r>
      <t xml:space="preserve">
</t>
    </r>
    <r>
      <rPr>
        <sz val="12"/>
        <color theme="1"/>
        <rFont val="Calibri"/>
        <family val="2"/>
        <scheme val="minor"/>
      </rPr>
      <t>3 2 1 1 2 3</t>
    </r>
  </si>
  <si>
    <t>ليلى</t>
  </si>
  <si>
    <t>22 - 6 - 2026</t>
  </si>
  <si>
    <t>مبروكة العربي</t>
  </si>
  <si>
    <t>23 - 6 - 2026</t>
  </si>
  <si>
    <r>
      <t xml:space="preserve">
</t>
    </r>
    <r>
      <rPr>
        <sz val="12"/>
        <color theme="1"/>
        <rFont val="Calibri"/>
        <family val="2"/>
        <scheme val="minor"/>
      </rPr>
      <t>7 6 5 5 6 7</t>
    </r>
  </si>
  <si>
    <t>عبد الفتاح</t>
  </si>
  <si>
    <t>23 -  6 - 2026</t>
  </si>
  <si>
    <t>ابرار ابراهيم</t>
  </si>
  <si>
    <t>ابراهيم موسى</t>
  </si>
  <si>
    <t>محمد الدالي</t>
  </si>
  <si>
    <t>28 - 6 - 2026</t>
  </si>
  <si>
    <t>ميلاد</t>
  </si>
  <si>
    <r>
      <rPr>
        <u/>
        <sz val="12"/>
        <color theme="1"/>
        <rFont val="Calibri"/>
        <family val="2"/>
        <scheme val="minor"/>
      </rPr>
      <t>3 |</t>
    </r>
    <r>
      <rPr>
        <u/>
        <sz val="16"/>
        <color theme="1"/>
        <rFont val="Calibri"/>
        <family val="2"/>
        <scheme val="minor"/>
      </rPr>
      <t xml:space="preserve">
</t>
    </r>
    <r>
      <rPr>
        <sz val="12"/>
        <color theme="1"/>
        <rFont val="Calibri"/>
        <family val="2"/>
        <scheme val="minor"/>
      </rPr>
      <t>5</t>
    </r>
    <r>
      <rPr>
        <sz val="14"/>
        <color theme="1"/>
        <rFont val="Calibri"/>
        <family val="2"/>
        <scheme val="minor"/>
      </rPr>
      <t>|</t>
    </r>
  </si>
  <si>
    <r>
      <rPr>
        <u/>
        <sz val="12"/>
        <color theme="1"/>
        <rFont val="Calibri"/>
        <family val="2"/>
        <scheme val="minor"/>
      </rPr>
      <t>4 |</t>
    </r>
    <r>
      <rPr>
        <u/>
        <sz val="16"/>
        <color theme="1"/>
        <rFont val="Calibri"/>
        <family val="2"/>
        <scheme val="minor"/>
      </rPr>
      <t xml:space="preserve">
</t>
    </r>
    <r>
      <rPr>
        <sz val="12"/>
        <color theme="1"/>
        <rFont val="Calibri"/>
        <family val="2"/>
        <scheme val="minor"/>
      </rPr>
      <t>5</t>
    </r>
    <r>
      <rPr>
        <sz val="14"/>
        <color theme="1"/>
        <rFont val="Calibri"/>
        <family val="2"/>
        <scheme val="minor"/>
      </rPr>
      <t>|</t>
    </r>
  </si>
  <si>
    <t>ايه</t>
  </si>
  <si>
    <r>
      <rPr>
        <sz val="12"/>
        <color theme="1"/>
        <rFont val="Calibri"/>
        <family val="2"/>
        <scheme val="minor"/>
      </rPr>
      <t>7 X 5</t>
    </r>
    <r>
      <rPr>
        <sz val="14"/>
        <color theme="1"/>
        <rFont val="Calibri"/>
        <family val="2"/>
        <scheme val="minor"/>
      </rPr>
      <t>|</t>
    </r>
    <r>
      <rPr>
        <sz val="12"/>
        <color theme="1"/>
        <rFont val="Calibri"/>
        <family val="2"/>
        <scheme val="minor"/>
      </rPr>
      <t xml:space="preserve">         </t>
    </r>
    <r>
      <rPr>
        <u/>
        <sz val="12"/>
        <color theme="1"/>
        <rFont val="Calibri"/>
        <family val="2"/>
        <scheme val="minor"/>
      </rPr>
      <t xml:space="preserve">  </t>
    </r>
  </si>
  <si>
    <r>
      <rPr>
        <sz val="12"/>
        <color theme="1"/>
        <rFont val="Calibri"/>
        <family val="2"/>
        <scheme val="minor"/>
      </rPr>
      <t>|</t>
    </r>
    <r>
      <rPr>
        <u/>
        <sz val="12"/>
        <color theme="1"/>
        <rFont val="Calibri"/>
        <family val="2"/>
        <scheme val="minor"/>
      </rPr>
      <t>2 3 4 5 6</t>
    </r>
    <r>
      <rPr>
        <sz val="12"/>
        <color theme="1"/>
        <rFont val="Calibri"/>
        <family val="2"/>
        <scheme val="minor"/>
      </rPr>
      <t xml:space="preserve">   </t>
    </r>
    <r>
      <rPr>
        <u/>
        <sz val="12"/>
        <color theme="1"/>
        <rFont val="Calibri"/>
        <family val="2"/>
        <scheme val="minor"/>
      </rPr>
      <t xml:space="preserve">  </t>
    </r>
  </si>
  <si>
    <t>ZIRCONIA FULL ANATOMY - عالي الصلابة</t>
  </si>
  <si>
    <t>زهرة علي</t>
  </si>
  <si>
    <t>ايناس</t>
  </si>
  <si>
    <r>
      <rPr>
        <sz val="18"/>
        <color theme="1"/>
        <rFont val="Calibri"/>
        <family val="2"/>
        <scheme val="minor"/>
      </rPr>
      <t>|</t>
    </r>
    <r>
      <rPr>
        <sz val="16"/>
        <color theme="1"/>
        <rFont val="Calibri"/>
        <family val="2"/>
        <scheme val="minor"/>
      </rPr>
      <t>5</t>
    </r>
  </si>
  <si>
    <t xml:space="preserve"> 6 5 4|1 1 2 3 4 5 6</t>
  </si>
  <si>
    <t>شهر 7 2026</t>
  </si>
  <si>
    <t>1 - 7 - 2026</t>
  </si>
  <si>
    <t>زينب</t>
  </si>
  <si>
    <t>2 - 7 - 2026</t>
  </si>
  <si>
    <t>اعادة 238</t>
  </si>
  <si>
    <t xml:space="preserve">اسامة </t>
  </si>
  <si>
    <t>4 - 7 - 2026</t>
  </si>
  <si>
    <t>upper</t>
  </si>
  <si>
    <t>NIGHT GUARD</t>
  </si>
  <si>
    <t>وائل بورو</t>
  </si>
  <si>
    <t>4 3 2 |</t>
  </si>
  <si>
    <t>فوزية</t>
  </si>
  <si>
    <t>5 - 7 - 2026</t>
  </si>
  <si>
    <t xml:space="preserve"> 5 4 x 2 1|1 2 3</t>
  </si>
  <si>
    <t>صليحة</t>
  </si>
  <si>
    <t>6 - 7 - 2026</t>
  </si>
  <si>
    <t>| 2</t>
  </si>
  <si>
    <t>علي محمد علي</t>
  </si>
  <si>
    <t>6 5 x 3 2 1|1 2 3 x x 6</t>
  </si>
  <si>
    <t xml:space="preserve"> 6 5 4 3 2 1|</t>
  </si>
  <si>
    <t>سلسبيل بوكتف</t>
  </si>
  <si>
    <t>عيادة نسيم الصحة</t>
  </si>
  <si>
    <t xml:space="preserve">ميساء احمد </t>
  </si>
  <si>
    <t>7 - 7 - 2026</t>
  </si>
  <si>
    <t>6 x 4 x 2 1|1 2 x x 5 x</t>
  </si>
  <si>
    <t>طيبة</t>
  </si>
  <si>
    <t>| 7</t>
  </si>
  <si>
    <t>ميرة محمد</t>
  </si>
  <si>
    <t xml:space="preserve">مركز اياب </t>
  </si>
  <si>
    <t>8 - 7 - 2026</t>
  </si>
  <si>
    <t xml:space="preserve"> 6 5 4|</t>
  </si>
  <si>
    <t xml:space="preserve">رانيا شنيب </t>
  </si>
  <si>
    <t>High Translucency Zirconia</t>
  </si>
  <si>
    <t>TEMPORARY CAD-CAM</t>
  </si>
  <si>
    <t>ZIRCONIA OVER IMPLANT</t>
  </si>
  <si>
    <t>SCREW RETAINED ACRYLIC</t>
  </si>
  <si>
    <t>TEMPORARY OVER IMPLANT</t>
  </si>
  <si>
    <t>CUSTOM ABUTMENT / ZIRCONIA</t>
  </si>
  <si>
    <t>POST ZIRCONIA</t>
  </si>
  <si>
    <t>REST ZIRCONIA</t>
  </si>
  <si>
    <t>STUDY CAST</t>
  </si>
  <si>
    <t>STUDY MODEL</t>
  </si>
  <si>
    <t>مثبت تقويم</t>
  </si>
  <si>
    <t>نوع الخدمة</t>
  </si>
  <si>
    <t>السعر</t>
  </si>
  <si>
    <t>9 - 7 - 2026</t>
  </si>
  <si>
    <t>250*</t>
  </si>
  <si>
    <t>فوزية مصباح</t>
  </si>
  <si>
    <t>11 - 7 - 2026</t>
  </si>
  <si>
    <r>
      <rPr>
        <sz val="12"/>
        <color theme="1"/>
        <rFont val="Calibri"/>
        <family val="2"/>
        <scheme val="minor"/>
      </rPr>
      <t>7 6 5 4</t>
    </r>
    <r>
      <rPr>
        <sz val="14"/>
        <color theme="1"/>
        <rFont val="Calibri"/>
        <family val="2"/>
        <scheme val="minor"/>
      </rPr>
      <t>|</t>
    </r>
    <r>
      <rPr>
        <sz val="12"/>
        <color theme="1"/>
        <rFont val="Calibri"/>
        <family val="2"/>
        <scheme val="minor"/>
      </rPr>
      <t xml:space="preserve">         </t>
    </r>
    <r>
      <rPr>
        <u/>
        <sz val="12"/>
        <color theme="1"/>
        <rFont val="Calibri"/>
        <family val="2"/>
        <scheme val="minor"/>
      </rPr>
      <t xml:space="preserve">  </t>
    </r>
  </si>
  <si>
    <t xml:space="preserve">احمد ابو غراره </t>
  </si>
  <si>
    <t>ابتسام ابو القاسم</t>
  </si>
  <si>
    <t>12 - 7 - 2026</t>
  </si>
  <si>
    <t>6 5 4 x 2 1|1 2 x 4</t>
  </si>
  <si>
    <t>حنان احمد رياض</t>
  </si>
  <si>
    <t>|3 4 x x 7</t>
  </si>
  <si>
    <t>فاطمة علي</t>
  </si>
  <si>
    <t xml:space="preserve">الاء سالم </t>
  </si>
  <si>
    <t xml:space="preserve">مركز الحمادي </t>
  </si>
  <si>
    <t>خيري القبائلي</t>
  </si>
  <si>
    <t>|2</t>
  </si>
  <si>
    <t xml:space="preserve">مركز الماسة </t>
  </si>
  <si>
    <t>Column1</t>
  </si>
  <si>
    <t>14 - 7 - 2026</t>
  </si>
  <si>
    <t xml:space="preserve">ليلى </t>
  </si>
  <si>
    <t>15 - 7 - 2026</t>
  </si>
  <si>
    <t>الرقم</t>
  </si>
  <si>
    <t xml:space="preserve"> BLEACHING - تبييض منزلي</t>
  </si>
  <si>
    <t xml:space="preserve"> eMAX</t>
  </si>
  <si>
    <t>3D MODEL UPPER / LOWER</t>
  </si>
  <si>
    <t>هديل</t>
  </si>
  <si>
    <t>محمد التومي</t>
  </si>
  <si>
    <t>6 5|</t>
  </si>
  <si>
    <t>نادية المشري</t>
  </si>
  <si>
    <t>18 - 7 - 2026</t>
  </si>
  <si>
    <r>
      <t xml:space="preserve">7 x x 4|3 4 x
</t>
    </r>
    <r>
      <rPr>
        <sz val="12"/>
        <color theme="1"/>
        <rFont val="Calibri"/>
        <family val="2"/>
        <scheme val="minor"/>
      </rPr>
      <t>x 5 4|</t>
    </r>
    <r>
      <rPr>
        <u/>
        <sz val="12"/>
        <color theme="1"/>
        <rFont val="Calibri"/>
        <family val="2"/>
        <scheme val="minor"/>
      </rPr>
      <t xml:space="preserve"> </t>
    </r>
  </si>
  <si>
    <t>ايمن رجب</t>
  </si>
  <si>
    <t>ZIRCONIA FULL ANATOMY - عالي الشفافية</t>
  </si>
  <si>
    <t>19 - 7 - 2026</t>
  </si>
  <si>
    <t>4 3 2 1|1 2 3</t>
  </si>
  <si>
    <t>سميرة فرج - 228</t>
  </si>
  <si>
    <t>سميرة فرج</t>
  </si>
  <si>
    <t>زهرة مختار</t>
  </si>
  <si>
    <t>23 - 7 - 2026</t>
  </si>
  <si>
    <t>1|1 x 3</t>
  </si>
  <si>
    <t xml:space="preserve">هاجر ميلاد </t>
  </si>
  <si>
    <t>دنيا هويدي</t>
  </si>
  <si>
    <t>27 - 7 - 2026</t>
  </si>
  <si>
    <t>عبد العاطي</t>
  </si>
  <si>
    <t>اعادة</t>
  </si>
  <si>
    <t>خديجة</t>
  </si>
  <si>
    <t xml:space="preserve">ابو بكر الشريف </t>
  </si>
  <si>
    <t>6 x x x 2 1|1 2 3 x</t>
  </si>
  <si>
    <t>علي محمد علي - 248</t>
  </si>
  <si>
    <t xml:space="preserve">علي الغناي </t>
  </si>
  <si>
    <t>مرحل</t>
  </si>
  <si>
    <t>عبد الرحمن الحمروني</t>
  </si>
  <si>
    <t>28 - 7 - 2026 المغرب</t>
  </si>
  <si>
    <t>رقية</t>
  </si>
  <si>
    <t>احمد ابو خريص</t>
  </si>
  <si>
    <t>29 - 7 - 2026</t>
  </si>
  <si>
    <t>2|</t>
  </si>
  <si>
    <t>رهام ناصر</t>
  </si>
  <si>
    <t>اروى اسامة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</si>
</sst>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6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u/>
      <sz val="11"/>
      <color rgb="FF000000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 wrapText="1" readingOrder="2"/>
    </xf>
    <xf numFmtId="49" fontId="0" fillId="0" borderId="0" xfId="0" applyNumberFormat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3" borderId="0" xfId="0" applyNumberFormat="1" applyFill="1" applyAlignment="1">
      <alignment horizontal="center" vertical="center" readingOrder="2"/>
    </xf>
    <xf numFmtId="49" fontId="0" fillId="0" borderId="0" xfId="0" applyNumberFormat="1" applyAlignment="1">
      <alignment readingOrder="2"/>
    </xf>
    <xf numFmtId="0" fontId="0" fillId="0" borderId="0" xfId="0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49" fontId="0" fillId="4" borderId="0" xfId="0" applyNumberFormat="1" applyFill="1" applyAlignment="1">
      <alignment horizontal="center" vertical="center" readingOrder="2"/>
    </xf>
    <xf numFmtId="0" fontId="1" fillId="4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 readingOrder="2"/>
    </xf>
    <xf numFmtId="0" fontId="0" fillId="3" borderId="0" xfId="0" applyFill="1"/>
    <xf numFmtId="49" fontId="0" fillId="0" borderId="0" xfId="0" applyNumberFormat="1" applyAlignment="1">
      <alignment horizontal="center" vertical="center" readingOrder="2"/>
    </xf>
    <xf numFmtId="0" fontId="7" fillId="0" borderId="0" xfId="0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49" fontId="0" fillId="5" borderId="0" xfId="0" applyNumberFormat="1" applyFill="1" applyAlignment="1">
      <alignment horizontal="center" vertical="center" wrapText="1" readingOrder="2"/>
    </xf>
    <xf numFmtId="0" fontId="7" fillId="5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49" fontId="0" fillId="5" borderId="0" xfId="0" applyNumberFormat="1" applyFill="1" applyAlignment="1">
      <alignment horizontal="center" vertical="center" readingOrder="2"/>
    </xf>
    <xf numFmtId="0" fontId="0" fillId="0" borderId="9" xfId="0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 readingOrder="2"/>
    </xf>
    <xf numFmtId="0" fontId="6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49" fontId="16" fillId="5" borderId="0" xfId="0" applyNumberFormat="1" applyFont="1" applyFill="1" applyAlignment="1">
      <alignment horizontal="center" vertical="center" readingOrder="2"/>
    </xf>
    <xf numFmtId="0" fontId="17" fillId="5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15" fillId="0" borderId="3" xfId="0" applyFont="1" applyBorder="1" applyAlignment="1">
      <alignment horizontal="center" vertical="center" wrapText="1"/>
    </xf>
    <xf numFmtId="0" fontId="15" fillId="4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3" fillId="6" borderId="11" xfId="0" applyFont="1" applyFill="1" applyBorder="1" applyAlignment="1">
      <alignment horizontal="center" vertical="center"/>
    </xf>
    <xf numFmtId="0" fontId="13" fillId="6" borderId="12" xfId="0" applyFont="1" applyFill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6" borderId="13" xfId="0" applyFont="1" applyFill="1" applyBorder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0" fontId="26" fillId="0" borderId="14" xfId="0" applyFont="1" applyBorder="1" applyAlignment="1">
      <alignment horizontal="center" vertical="center"/>
    </xf>
    <xf numFmtId="0" fontId="13" fillId="6" borderId="14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13" fillId="6" borderId="3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 readingOrder="2"/>
    </xf>
    <xf numFmtId="0" fontId="1" fillId="0" borderId="0" xfId="0" applyFont="1" applyAlignment="1">
      <alignment horizontal="center" vertical="center" readingOrder="2"/>
    </xf>
    <xf numFmtId="49" fontId="0" fillId="0" borderId="3" xfId="0" applyNumberFormat="1" applyBorder="1" applyAlignment="1">
      <alignment horizontal="center" vertical="center" readingOrder="2"/>
    </xf>
    <xf numFmtId="0" fontId="14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/>
    <xf numFmtId="0" fontId="8" fillId="0" borderId="0" xfId="0" applyFont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1" fontId="0" fillId="5" borderId="0" xfId="0" applyNumberFormat="1" applyFill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1" fontId="0" fillId="4" borderId="0" xfId="0" applyNumberFormat="1" applyFill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</cellXfs>
  <cellStyles count="1">
    <cellStyle name="Normal" xfId="0" builtinId="0"/>
  </cellStyles>
  <dxfs count="32"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2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2"/>
    </dxf>
    <dxf>
      <numFmt numFmtId="30" formatCode="@"/>
      <alignment horizontal="center" vertical="center" textRotation="0" wrapText="0" indent="0" justifyLastLine="0" shrinkToFit="0" readingOrder="2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2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847725</xdr:colOff>
      <xdr:row>11</xdr:row>
      <xdr:rowOff>77258</xdr:rowOff>
    </xdr:from>
    <xdr:to>
      <xdr:col>6</xdr:col>
      <xdr:colOff>1071033</xdr:colOff>
      <xdr:row>11</xdr:row>
      <xdr:rowOff>85725</xdr:rowOff>
    </xdr:to>
    <xdr:cxnSp macro="">
      <xdr:nvCxnSpPr>
        <xdr:cNvPr id="52" name="Straight Connector 13">
          <a:extLst>
            <a:ext uri="{FF2B5EF4-FFF2-40B4-BE49-F238E27FC236}">
              <a16:creationId xmlns:a16="http://schemas.microsoft.com/office/drawing/2014/main" id="{5CB2A6FF-A095-4534-94DB-52844D7FFD2C}"/>
            </a:ext>
            <a:ext uri="{147F2762-F138-4A5C-976F-8EAC2B608ADB}">
              <a16:predDERef xmlns:a16="http://schemas.microsoft.com/office/drawing/2014/main" pred="{7DDB96D4-D24B-A37B-B2D6-F3F7D1E44B7F}"/>
            </a:ext>
          </a:extLst>
        </xdr:cNvPr>
        <xdr:cNvCxnSpPr/>
      </xdr:nvCxnSpPr>
      <xdr:spPr>
        <a:xfrm>
          <a:off x="9993397167" y="3172883"/>
          <a:ext cx="223308" cy="846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991659</xdr:colOff>
      <xdr:row>14</xdr:row>
      <xdr:rowOff>102658</xdr:rowOff>
    </xdr:from>
    <xdr:to>
      <xdr:col>6</xdr:col>
      <xdr:colOff>1200150</xdr:colOff>
      <xdr:row>14</xdr:row>
      <xdr:rowOff>104775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0F7F1D3E-BC4B-4842-BB23-B3B56328020C}"/>
            </a:ext>
          </a:extLst>
        </xdr:cNvPr>
        <xdr:cNvCxnSpPr/>
      </xdr:nvCxnSpPr>
      <xdr:spPr>
        <a:xfrm flipV="1">
          <a:off x="9993268050" y="4141258"/>
          <a:ext cx="208491" cy="211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982134</xdr:colOff>
      <xdr:row>16</xdr:row>
      <xdr:rowOff>102658</xdr:rowOff>
    </xdr:from>
    <xdr:to>
      <xdr:col>6</xdr:col>
      <xdr:colOff>1190625</xdr:colOff>
      <xdr:row>16</xdr:row>
      <xdr:rowOff>104775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209BA5E0-49E1-441D-AB8F-AD806610768F}"/>
            </a:ext>
          </a:extLst>
        </xdr:cNvPr>
        <xdr:cNvCxnSpPr/>
      </xdr:nvCxnSpPr>
      <xdr:spPr>
        <a:xfrm flipV="1">
          <a:off x="9993277575" y="4769908"/>
          <a:ext cx="208491" cy="211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777876</xdr:colOff>
      <xdr:row>19</xdr:row>
      <xdr:rowOff>102658</xdr:rowOff>
    </xdr:from>
    <xdr:to>
      <xdr:col>6</xdr:col>
      <xdr:colOff>1219200</xdr:colOff>
      <xdr:row>19</xdr:row>
      <xdr:rowOff>104775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19677B46-1A05-4CEE-924E-A681F3FE3B5D}"/>
            </a:ext>
          </a:extLst>
        </xdr:cNvPr>
        <xdr:cNvCxnSpPr/>
      </xdr:nvCxnSpPr>
      <xdr:spPr>
        <a:xfrm flipV="1">
          <a:off x="9993249000" y="5712883"/>
          <a:ext cx="441324" cy="211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647700</xdr:colOff>
      <xdr:row>21</xdr:row>
      <xdr:rowOff>84666</xdr:rowOff>
    </xdr:from>
    <xdr:to>
      <xdr:col>6</xdr:col>
      <xdr:colOff>1411817</xdr:colOff>
      <xdr:row>21</xdr:row>
      <xdr:rowOff>85725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BFA81EFA-FDA7-4783-A907-AA1AA616E42F}"/>
            </a:ext>
          </a:extLst>
        </xdr:cNvPr>
        <xdr:cNvCxnSpPr/>
      </xdr:nvCxnSpPr>
      <xdr:spPr>
        <a:xfrm>
          <a:off x="9993056383" y="6323541"/>
          <a:ext cx="764117" cy="10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819150</xdr:colOff>
      <xdr:row>26</xdr:row>
      <xdr:rowOff>95250</xdr:rowOff>
    </xdr:from>
    <xdr:to>
      <xdr:col>6</xdr:col>
      <xdr:colOff>1381125</xdr:colOff>
      <xdr:row>26</xdr:row>
      <xdr:rowOff>95250</xdr:rowOff>
    </xdr:to>
    <xdr:cxnSp macro="">
      <xdr:nvCxnSpPr>
        <xdr:cNvPr id="57" name="Straight Connector 2">
          <a:extLst>
            <a:ext uri="{FF2B5EF4-FFF2-40B4-BE49-F238E27FC236}">
              <a16:creationId xmlns:a16="http://schemas.microsoft.com/office/drawing/2014/main" id="{F249BA86-13BF-420D-B52A-B3F44F9D6D6D}"/>
            </a:ext>
            <a:ext uri="{147F2762-F138-4A5C-976F-8EAC2B608ADB}">
              <a16:predDERef xmlns:a16="http://schemas.microsoft.com/office/drawing/2014/main" pred="{D1D60BFB-B606-4A26-9F6A-0C7E325B11CA}"/>
            </a:ext>
          </a:extLst>
        </xdr:cNvPr>
        <xdr:cNvCxnSpPr>
          <a:cxnSpLocks/>
        </xdr:cNvCxnSpPr>
      </xdr:nvCxnSpPr>
      <xdr:spPr>
        <a:xfrm>
          <a:off x="9993087075" y="7905750"/>
          <a:ext cx="561975" cy="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809625</xdr:colOff>
      <xdr:row>27</xdr:row>
      <xdr:rowOff>114300</xdr:rowOff>
    </xdr:from>
    <xdr:to>
      <xdr:col>6</xdr:col>
      <xdr:colOff>1438275</xdr:colOff>
      <xdr:row>27</xdr:row>
      <xdr:rowOff>114300</xdr:rowOff>
    </xdr:to>
    <xdr:cxnSp macro="">
      <xdr:nvCxnSpPr>
        <xdr:cNvPr id="58" name="Straight Connector 2">
          <a:extLst>
            <a:ext uri="{FF2B5EF4-FFF2-40B4-BE49-F238E27FC236}">
              <a16:creationId xmlns:a16="http://schemas.microsoft.com/office/drawing/2014/main" id="{9B7B6F48-C679-42DB-A29A-FC386C87EBB2}"/>
            </a:ext>
            <a:ext uri="{147F2762-F138-4A5C-976F-8EAC2B608ADB}">
              <a16:predDERef xmlns:a16="http://schemas.microsoft.com/office/drawing/2014/main" pred="{D1D60BFB-B606-4A26-9F6A-0C7E325B11CA}"/>
            </a:ext>
          </a:extLst>
        </xdr:cNvPr>
        <xdr:cNvCxnSpPr>
          <a:cxnSpLocks/>
        </xdr:cNvCxnSpPr>
      </xdr:nvCxnSpPr>
      <xdr:spPr>
        <a:xfrm>
          <a:off x="9993029925" y="8239125"/>
          <a:ext cx="628650" cy="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522817</xdr:colOff>
      <xdr:row>28</xdr:row>
      <xdr:rowOff>77258</xdr:rowOff>
    </xdr:from>
    <xdr:to>
      <xdr:col>6</xdr:col>
      <xdr:colOff>1517651</xdr:colOff>
      <xdr:row>28</xdr:row>
      <xdr:rowOff>77258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3E5D115F-1A31-4ED4-8E45-A8448D05D451}"/>
            </a:ext>
          </a:extLst>
        </xdr:cNvPr>
        <xdr:cNvCxnSpPr/>
      </xdr:nvCxnSpPr>
      <xdr:spPr>
        <a:xfrm>
          <a:off x="9992950549" y="8516408"/>
          <a:ext cx="99483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275167</xdr:colOff>
      <xdr:row>29</xdr:row>
      <xdr:rowOff>105833</xdr:rowOff>
    </xdr:from>
    <xdr:to>
      <xdr:col>6</xdr:col>
      <xdr:colOff>1270001</xdr:colOff>
      <xdr:row>29</xdr:row>
      <xdr:rowOff>105833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31585A3F-402C-4302-BBD2-85D0FFBFED08}"/>
            </a:ext>
          </a:extLst>
        </xdr:cNvPr>
        <xdr:cNvCxnSpPr/>
      </xdr:nvCxnSpPr>
      <xdr:spPr>
        <a:xfrm>
          <a:off x="9987092674" y="8859308"/>
          <a:ext cx="99483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972609</xdr:colOff>
      <xdr:row>43</xdr:row>
      <xdr:rowOff>64558</xdr:rowOff>
    </xdr:from>
    <xdr:to>
      <xdr:col>6</xdr:col>
      <xdr:colOff>1336674</xdr:colOff>
      <xdr:row>43</xdr:row>
      <xdr:rowOff>64558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E196A69F-EA3B-49BC-AB7C-EB4148713903}"/>
            </a:ext>
          </a:extLst>
        </xdr:cNvPr>
        <xdr:cNvCxnSpPr/>
      </xdr:nvCxnSpPr>
      <xdr:spPr>
        <a:xfrm>
          <a:off x="9993131526" y="12989983"/>
          <a:ext cx="36406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593724</xdr:colOff>
      <xdr:row>46</xdr:row>
      <xdr:rowOff>63500</xdr:rowOff>
    </xdr:from>
    <xdr:to>
      <xdr:col>6</xdr:col>
      <xdr:colOff>1135592</xdr:colOff>
      <xdr:row>46</xdr:row>
      <xdr:rowOff>67733</xdr:rowOff>
    </xdr:to>
    <xdr:cxnSp macro="">
      <xdr:nvCxnSpPr>
        <xdr:cNvPr id="62" name="Straight Connector 13">
          <a:extLst>
            <a:ext uri="{FF2B5EF4-FFF2-40B4-BE49-F238E27FC236}">
              <a16:creationId xmlns:a16="http://schemas.microsoft.com/office/drawing/2014/main" id="{D7CA98F7-E22D-43F8-8E29-FAD058C8B5C0}"/>
            </a:ext>
            <a:ext uri="{147F2762-F138-4A5C-976F-8EAC2B608ADB}">
              <a16:predDERef xmlns:a16="http://schemas.microsoft.com/office/drawing/2014/main" pred="{7DDB96D4-D24B-A37B-B2D6-F3F7D1E44B7F}"/>
            </a:ext>
          </a:extLst>
        </xdr:cNvPr>
        <xdr:cNvCxnSpPr/>
      </xdr:nvCxnSpPr>
      <xdr:spPr>
        <a:xfrm>
          <a:off x="9993332608" y="13760450"/>
          <a:ext cx="541868" cy="423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972609</xdr:colOff>
      <xdr:row>48</xdr:row>
      <xdr:rowOff>64558</xdr:rowOff>
    </xdr:from>
    <xdr:to>
      <xdr:col>6</xdr:col>
      <xdr:colOff>1336674</xdr:colOff>
      <xdr:row>48</xdr:row>
      <xdr:rowOff>64558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67613C6F-D289-486B-B08B-5C6934339AB3}"/>
            </a:ext>
          </a:extLst>
        </xdr:cNvPr>
        <xdr:cNvCxnSpPr/>
      </xdr:nvCxnSpPr>
      <xdr:spPr>
        <a:xfrm>
          <a:off x="9993131526" y="14294908"/>
          <a:ext cx="36406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688974</xdr:colOff>
      <xdr:row>51</xdr:row>
      <xdr:rowOff>58208</xdr:rowOff>
    </xdr:from>
    <xdr:to>
      <xdr:col>6</xdr:col>
      <xdr:colOff>1061508</xdr:colOff>
      <xdr:row>51</xdr:row>
      <xdr:rowOff>58208</xdr:rowOff>
    </xdr:to>
    <xdr:cxnSp macro="">
      <xdr:nvCxnSpPr>
        <xdr:cNvPr id="64" name="Straight Connector 13">
          <a:extLst>
            <a:ext uri="{FF2B5EF4-FFF2-40B4-BE49-F238E27FC236}">
              <a16:creationId xmlns:a16="http://schemas.microsoft.com/office/drawing/2014/main" id="{96A56B43-F35B-4EE7-B704-0A3BD6EA3032}"/>
            </a:ext>
            <a:ext uri="{147F2762-F138-4A5C-976F-8EAC2B608ADB}">
              <a16:predDERef xmlns:a16="http://schemas.microsoft.com/office/drawing/2014/main" pred="{7DDB96D4-D24B-A37B-B2D6-F3F7D1E44B7F}"/>
            </a:ext>
          </a:extLst>
        </xdr:cNvPr>
        <xdr:cNvCxnSpPr/>
      </xdr:nvCxnSpPr>
      <xdr:spPr>
        <a:xfrm>
          <a:off x="9993406692" y="15193433"/>
          <a:ext cx="37253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914400</xdr:colOff>
      <xdr:row>54</xdr:row>
      <xdr:rowOff>73025</xdr:rowOff>
    </xdr:from>
    <xdr:to>
      <xdr:col>6</xdr:col>
      <xdr:colOff>1323975</xdr:colOff>
      <xdr:row>54</xdr:row>
      <xdr:rowOff>76200</xdr:rowOff>
    </xdr:to>
    <xdr:cxnSp macro="">
      <xdr:nvCxnSpPr>
        <xdr:cNvPr id="65" name="Straight Connector 2">
          <a:extLst>
            <a:ext uri="{FF2B5EF4-FFF2-40B4-BE49-F238E27FC236}">
              <a16:creationId xmlns:a16="http://schemas.microsoft.com/office/drawing/2014/main" id="{35AA4E2A-348C-4414-A1B1-334BA8C55E11}"/>
            </a:ext>
            <a:ext uri="{147F2762-F138-4A5C-976F-8EAC2B608ADB}">
              <a16:predDERef xmlns:a16="http://schemas.microsoft.com/office/drawing/2014/main" pred="{D1D60BFB-B606-4A26-9F6A-0C7E325B11CA}"/>
            </a:ext>
          </a:extLst>
        </xdr:cNvPr>
        <xdr:cNvCxnSpPr>
          <a:cxnSpLocks/>
        </xdr:cNvCxnSpPr>
      </xdr:nvCxnSpPr>
      <xdr:spPr>
        <a:xfrm flipV="1">
          <a:off x="9993144225" y="16141700"/>
          <a:ext cx="409575" cy="3175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817034</xdr:colOff>
      <xdr:row>64</xdr:row>
      <xdr:rowOff>65617</xdr:rowOff>
    </xdr:from>
    <xdr:to>
      <xdr:col>6</xdr:col>
      <xdr:colOff>1483784</xdr:colOff>
      <xdr:row>64</xdr:row>
      <xdr:rowOff>65617</xdr:rowOff>
    </xdr:to>
    <xdr:cxnSp macro="">
      <xdr:nvCxnSpPr>
        <xdr:cNvPr id="66" name="Straight Connector 2">
          <a:extLst>
            <a:ext uri="{FF2B5EF4-FFF2-40B4-BE49-F238E27FC236}">
              <a16:creationId xmlns:a16="http://schemas.microsoft.com/office/drawing/2014/main" id="{4A922346-08C5-448F-95F8-3578923447C5}"/>
            </a:ext>
            <a:ext uri="{147F2762-F138-4A5C-976F-8EAC2B608ADB}">
              <a16:predDERef xmlns:a16="http://schemas.microsoft.com/office/drawing/2014/main" pred="{D1D60BFB-B606-4A26-9F6A-0C7E325B11CA}"/>
            </a:ext>
          </a:extLst>
        </xdr:cNvPr>
        <xdr:cNvCxnSpPr>
          <a:cxnSpLocks/>
        </xdr:cNvCxnSpPr>
      </xdr:nvCxnSpPr>
      <xdr:spPr>
        <a:xfrm>
          <a:off x="9992984416" y="18658417"/>
          <a:ext cx="666750" cy="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412750</xdr:colOff>
      <xdr:row>67</xdr:row>
      <xdr:rowOff>63500</xdr:rowOff>
    </xdr:from>
    <xdr:to>
      <xdr:col>6</xdr:col>
      <xdr:colOff>1714500</xdr:colOff>
      <xdr:row>67</xdr:row>
      <xdr:rowOff>63500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3AB266F2-DAB5-4035-B2F9-765220449768}"/>
            </a:ext>
          </a:extLst>
        </xdr:cNvPr>
        <xdr:cNvCxnSpPr/>
      </xdr:nvCxnSpPr>
      <xdr:spPr>
        <a:xfrm>
          <a:off x="9992753700" y="19351625"/>
          <a:ext cx="13017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723900</xdr:colOff>
      <xdr:row>68</xdr:row>
      <xdr:rowOff>66675</xdr:rowOff>
    </xdr:from>
    <xdr:to>
      <xdr:col>6</xdr:col>
      <xdr:colOff>1247775</xdr:colOff>
      <xdr:row>68</xdr:row>
      <xdr:rowOff>66675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B9655847-284D-4ACA-B0CF-2EBA3DF273E4}"/>
            </a:ext>
          </a:extLst>
        </xdr:cNvPr>
        <xdr:cNvCxnSpPr/>
      </xdr:nvCxnSpPr>
      <xdr:spPr>
        <a:xfrm>
          <a:off x="9993220425" y="19621500"/>
          <a:ext cx="5238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972609</xdr:colOff>
      <xdr:row>76</xdr:row>
      <xdr:rowOff>140758</xdr:rowOff>
    </xdr:from>
    <xdr:to>
      <xdr:col>6</xdr:col>
      <xdr:colOff>1336674</xdr:colOff>
      <xdr:row>76</xdr:row>
      <xdr:rowOff>140758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ED4C23B3-780C-407F-AE72-13C1F4511D98}"/>
            </a:ext>
          </a:extLst>
        </xdr:cNvPr>
        <xdr:cNvCxnSpPr/>
      </xdr:nvCxnSpPr>
      <xdr:spPr>
        <a:xfrm>
          <a:off x="9991369401" y="21210058"/>
          <a:ext cx="36406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790575</xdr:colOff>
      <xdr:row>77</xdr:row>
      <xdr:rowOff>101600</xdr:rowOff>
    </xdr:from>
    <xdr:to>
      <xdr:col>6</xdr:col>
      <xdr:colOff>1068917</xdr:colOff>
      <xdr:row>77</xdr:row>
      <xdr:rowOff>104775</xdr:rowOff>
    </xdr:to>
    <xdr:cxnSp macro="">
      <xdr:nvCxnSpPr>
        <xdr:cNvPr id="86" name="Straight Connector 13">
          <a:extLst>
            <a:ext uri="{FF2B5EF4-FFF2-40B4-BE49-F238E27FC236}">
              <a16:creationId xmlns:a16="http://schemas.microsoft.com/office/drawing/2014/main" id="{0298BDCD-8342-4109-AEB3-6528D75925DE}"/>
            </a:ext>
            <a:ext uri="{147F2762-F138-4A5C-976F-8EAC2B608ADB}">
              <a16:predDERef xmlns:a16="http://schemas.microsoft.com/office/drawing/2014/main" pred="{7DDB96D4-D24B-A37B-B2D6-F3F7D1E44B7F}"/>
            </a:ext>
          </a:extLst>
        </xdr:cNvPr>
        <xdr:cNvCxnSpPr/>
      </xdr:nvCxnSpPr>
      <xdr:spPr>
        <a:xfrm>
          <a:off x="9991637158" y="1692275"/>
          <a:ext cx="278342" cy="31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1009650</xdr:colOff>
      <xdr:row>84</xdr:row>
      <xdr:rowOff>28575</xdr:rowOff>
    </xdr:from>
    <xdr:to>
      <xdr:col>6</xdr:col>
      <xdr:colOff>1019175</xdr:colOff>
      <xdr:row>84</xdr:row>
      <xdr:rowOff>390525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9DEDD45-AD70-B22F-6556-AC8C64EBC39E}"/>
            </a:ext>
          </a:extLst>
        </xdr:cNvPr>
        <xdr:cNvCxnSpPr/>
      </xdr:nvCxnSpPr>
      <xdr:spPr>
        <a:xfrm>
          <a:off x="9991686900" y="23212425"/>
          <a:ext cx="9525" cy="3619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428625</xdr:colOff>
      <xdr:row>84</xdr:row>
      <xdr:rowOff>228600</xdr:rowOff>
    </xdr:from>
    <xdr:to>
      <xdr:col>6</xdr:col>
      <xdr:colOff>1609725</xdr:colOff>
      <xdr:row>84</xdr:row>
      <xdr:rowOff>238125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7E3925B0-68F4-9E41-5264-0FC517C78A62}"/>
            </a:ext>
          </a:extLst>
        </xdr:cNvPr>
        <xdr:cNvCxnSpPr/>
      </xdr:nvCxnSpPr>
      <xdr:spPr>
        <a:xfrm>
          <a:off x="9991096350" y="23412450"/>
          <a:ext cx="118110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1009650</xdr:colOff>
      <xdr:row>95</xdr:row>
      <xdr:rowOff>28575</xdr:rowOff>
    </xdr:from>
    <xdr:to>
      <xdr:col>6</xdr:col>
      <xdr:colOff>1019175</xdr:colOff>
      <xdr:row>95</xdr:row>
      <xdr:rowOff>390525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C1CB40D1-48B3-4D3A-B24F-2CC5CC9E2A2B}"/>
            </a:ext>
          </a:extLst>
        </xdr:cNvPr>
        <xdr:cNvCxnSpPr/>
      </xdr:nvCxnSpPr>
      <xdr:spPr>
        <a:xfrm>
          <a:off x="9991686900" y="23212425"/>
          <a:ext cx="9525" cy="3619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428625</xdr:colOff>
      <xdr:row>95</xdr:row>
      <xdr:rowOff>228600</xdr:rowOff>
    </xdr:from>
    <xdr:to>
      <xdr:col>6</xdr:col>
      <xdr:colOff>1609725</xdr:colOff>
      <xdr:row>95</xdr:row>
      <xdr:rowOff>238125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85572236-2B6A-4BDB-9150-E35B0C824BB7}"/>
            </a:ext>
          </a:extLst>
        </xdr:cNvPr>
        <xdr:cNvCxnSpPr/>
      </xdr:nvCxnSpPr>
      <xdr:spPr>
        <a:xfrm>
          <a:off x="9991096350" y="23412450"/>
          <a:ext cx="118110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1009650</xdr:colOff>
      <xdr:row>97</xdr:row>
      <xdr:rowOff>142875</xdr:rowOff>
    </xdr:from>
    <xdr:to>
      <xdr:col>6</xdr:col>
      <xdr:colOff>1019175</xdr:colOff>
      <xdr:row>97</xdr:row>
      <xdr:rowOff>504825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13195C26-5F17-4CAA-804A-FF230C37F450}"/>
            </a:ext>
          </a:extLst>
        </xdr:cNvPr>
        <xdr:cNvCxnSpPr/>
      </xdr:nvCxnSpPr>
      <xdr:spPr>
        <a:xfrm>
          <a:off x="9991686900" y="4295775"/>
          <a:ext cx="9525" cy="3619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438150</xdr:colOff>
      <xdr:row>97</xdr:row>
      <xdr:rowOff>247650</xdr:rowOff>
    </xdr:from>
    <xdr:to>
      <xdr:col>6</xdr:col>
      <xdr:colOff>1600200</xdr:colOff>
      <xdr:row>97</xdr:row>
      <xdr:rowOff>247650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808A6A60-1A82-476A-BDFF-E5F345D12B0A}"/>
            </a:ext>
          </a:extLst>
        </xdr:cNvPr>
        <xdr:cNvCxnSpPr/>
      </xdr:nvCxnSpPr>
      <xdr:spPr>
        <a:xfrm>
          <a:off x="9991105875" y="27555825"/>
          <a:ext cx="11620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1009650</xdr:colOff>
      <xdr:row>98</xdr:row>
      <xdr:rowOff>28575</xdr:rowOff>
    </xdr:from>
    <xdr:to>
      <xdr:col>6</xdr:col>
      <xdr:colOff>1019175</xdr:colOff>
      <xdr:row>98</xdr:row>
      <xdr:rowOff>390525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EF7817D0-9549-4AD0-86A9-7E1F9235AA67}"/>
            </a:ext>
          </a:extLst>
        </xdr:cNvPr>
        <xdr:cNvCxnSpPr/>
      </xdr:nvCxnSpPr>
      <xdr:spPr>
        <a:xfrm>
          <a:off x="9991686900" y="23212425"/>
          <a:ext cx="9525" cy="3619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428625</xdr:colOff>
      <xdr:row>98</xdr:row>
      <xdr:rowOff>228600</xdr:rowOff>
    </xdr:from>
    <xdr:to>
      <xdr:col>6</xdr:col>
      <xdr:colOff>1609725</xdr:colOff>
      <xdr:row>98</xdr:row>
      <xdr:rowOff>238125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34DBFB6C-D566-41F6-8952-6AAEDF6A2DBB}"/>
            </a:ext>
          </a:extLst>
        </xdr:cNvPr>
        <xdr:cNvCxnSpPr/>
      </xdr:nvCxnSpPr>
      <xdr:spPr>
        <a:xfrm>
          <a:off x="9991096350" y="23412450"/>
          <a:ext cx="118110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790575</xdr:colOff>
      <xdr:row>102</xdr:row>
      <xdr:rowOff>63500</xdr:rowOff>
    </xdr:from>
    <xdr:to>
      <xdr:col>6</xdr:col>
      <xdr:colOff>1068917</xdr:colOff>
      <xdr:row>102</xdr:row>
      <xdr:rowOff>66675</xdr:rowOff>
    </xdr:to>
    <xdr:cxnSp macro="">
      <xdr:nvCxnSpPr>
        <xdr:cNvPr id="17" name="Straight Connector 13">
          <a:extLst>
            <a:ext uri="{FF2B5EF4-FFF2-40B4-BE49-F238E27FC236}">
              <a16:creationId xmlns:a16="http://schemas.microsoft.com/office/drawing/2014/main" id="{6E1CBBB9-FDC6-4E94-9937-B11B4E671057}"/>
            </a:ext>
            <a:ext uri="{147F2762-F138-4A5C-976F-8EAC2B608ADB}">
              <a16:predDERef xmlns:a16="http://schemas.microsoft.com/office/drawing/2014/main" pred="{7DDB96D4-D24B-A37B-B2D6-F3F7D1E44B7F}"/>
            </a:ext>
          </a:extLst>
        </xdr:cNvPr>
        <xdr:cNvCxnSpPr/>
      </xdr:nvCxnSpPr>
      <xdr:spPr>
        <a:xfrm>
          <a:off x="9991637158" y="21418550"/>
          <a:ext cx="278342" cy="31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981075</xdr:colOff>
      <xdr:row>74</xdr:row>
      <xdr:rowOff>314325</xdr:rowOff>
    </xdr:from>
    <xdr:to>
      <xdr:col>6</xdr:col>
      <xdr:colOff>1171575</xdr:colOff>
      <xdr:row>74</xdr:row>
      <xdr:rowOff>314325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1FF5A75C-88B6-E4F1-4DA2-952B0C5DD41D}"/>
            </a:ext>
          </a:extLst>
        </xdr:cNvPr>
        <xdr:cNvCxnSpPr/>
      </xdr:nvCxnSpPr>
      <xdr:spPr>
        <a:xfrm flipH="1">
          <a:off x="9991534500" y="20735925"/>
          <a:ext cx="190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981075</xdr:colOff>
      <xdr:row>94</xdr:row>
      <xdr:rowOff>314325</xdr:rowOff>
    </xdr:from>
    <xdr:to>
      <xdr:col>6</xdr:col>
      <xdr:colOff>1171575</xdr:colOff>
      <xdr:row>94</xdr:row>
      <xdr:rowOff>314325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8CCFFB52-E283-48B4-8D7B-1941FEC689AC}"/>
            </a:ext>
          </a:extLst>
        </xdr:cNvPr>
        <xdr:cNvCxnSpPr/>
      </xdr:nvCxnSpPr>
      <xdr:spPr>
        <a:xfrm flipH="1">
          <a:off x="9991534500" y="20735925"/>
          <a:ext cx="190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866775</xdr:colOff>
      <xdr:row>101</xdr:row>
      <xdr:rowOff>66675</xdr:rowOff>
    </xdr:from>
    <xdr:to>
      <xdr:col>6</xdr:col>
      <xdr:colOff>1285875</xdr:colOff>
      <xdr:row>101</xdr:row>
      <xdr:rowOff>66675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5DD0AB5F-27F3-4FF3-AC5A-0AED61927C2A}"/>
            </a:ext>
          </a:extLst>
        </xdr:cNvPr>
        <xdr:cNvCxnSpPr/>
      </xdr:nvCxnSpPr>
      <xdr:spPr>
        <a:xfrm flipH="1">
          <a:off x="9991420200" y="29813250"/>
          <a:ext cx="4191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790575</xdr:colOff>
      <xdr:row>104</xdr:row>
      <xdr:rowOff>63500</xdr:rowOff>
    </xdr:from>
    <xdr:to>
      <xdr:col>6</xdr:col>
      <xdr:colOff>1068917</xdr:colOff>
      <xdr:row>104</xdr:row>
      <xdr:rowOff>66675</xdr:rowOff>
    </xdr:to>
    <xdr:cxnSp macro="">
      <xdr:nvCxnSpPr>
        <xdr:cNvPr id="8" name="Straight Connector 13">
          <a:extLst>
            <a:ext uri="{FF2B5EF4-FFF2-40B4-BE49-F238E27FC236}">
              <a16:creationId xmlns:a16="http://schemas.microsoft.com/office/drawing/2014/main" id="{07496277-D2DF-4FA7-A92A-2A4F83C1E3A9}"/>
            </a:ext>
            <a:ext uri="{147F2762-F138-4A5C-976F-8EAC2B608ADB}">
              <a16:predDERef xmlns:a16="http://schemas.microsoft.com/office/drawing/2014/main" pred="{7DDB96D4-D24B-A37B-B2D6-F3F7D1E44B7F}"/>
            </a:ext>
          </a:extLst>
        </xdr:cNvPr>
        <xdr:cNvCxnSpPr/>
      </xdr:nvCxnSpPr>
      <xdr:spPr>
        <a:xfrm>
          <a:off x="9991637158" y="29019500"/>
          <a:ext cx="278342" cy="31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952500</xdr:colOff>
      <xdr:row>103</xdr:row>
      <xdr:rowOff>92075</xdr:rowOff>
    </xdr:from>
    <xdr:to>
      <xdr:col>6</xdr:col>
      <xdr:colOff>1230842</xdr:colOff>
      <xdr:row>103</xdr:row>
      <xdr:rowOff>95250</xdr:rowOff>
    </xdr:to>
    <xdr:cxnSp macro="">
      <xdr:nvCxnSpPr>
        <xdr:cNvPr id="9" name="Straight Connector 13">
          <a:extLst>
            <a:ext uri="{FF2B5EF4-FFF2-40B4-BE49-F238E27FC236}">
              <a16:creationId xmlns:a16="http://schemas.microsoft.com/office/drawing/2014/main" id="{A4558E7D-65CD-4848-A0EA-A690E853FDD9}"/>
            </a:ext>
            <a:ext uri="{147F2762-F138-4A5C-976F-8EAC2B608ADB}">
              <a16:predDERef xmlns:a16="http://schemas.microsoft.com/office/drawing/2014/main" pred="{7DDB96D4-D24B-A37B-B2D6-F3F7D1E44B7F}"/>
            </a:ext>
          </a:extLst>
        </xdr:cNvPr>
        <xdr:cNvCxnSpPr/>
      </xdr:nvCxnSpPr>
      <xdr:spPr>
        <a:xfrm>
          <a:off x="9991475233" y="29343350"/>
          <a:ext cx="278342" cy="31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952500</xdr:colOff>
      <xdr:row>106</xdr:row>
      <xdr:rowOff>66675</xdr:rowOff>
    </xdr:from>
    <xdr:to>
      <xdr:col>6</xdr:col>
      <xdr:colOff>1228725</xdr:colOff>
      <xdr:row>106</xdr:row>
      <xdr:rowOff>66675</xdr:rowOff>
    </xdr:to>
    <xdr:cxnSp macro="">
      <xdr:nvCxnSpPr>
        <xdr:cNvPr id="12" name="Straight Connector 13">
          <a:extLst>
            <a:ext uri="{FF2B5EF4-FFF2-40B4-BE49-F238E27FC236}">
              <a16:creationId xmlns:a16="http://schemas.microsoft.com/office/drawing/2014/main" id="{6F3E747D-41A5-48CA-B0DE-EA82FE0467E9}"/>
            </a:ext>
            <a:ext uri="{147F2762-F138-4A5C-976F-8EAC2B608ADB}">
              <a16:predDERef xmlns:a16="http://schemas.microsoft.com/office/drawing/2014/main" pred="{7DDB96D4-D24B-A37B-B2D6-F3F7D1E44B7F}"/>
            </a:ext>
          </a:extLst>
        </xdr:cNvPr>
        <xdr:cNvCxnSpPr/>
      </xdr:nvCxnSpPr>
      <xdr:spPr>
        <a:xfrm>
          <a:off x="9991477350" y="30232350"/>
          <a:ext cx="2762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790575</xdr:colOff>
      <xdr:row>107</xdr:row>
      <xdr:rowOff>63500</xdr:rowOff>
    </xdr:from>
    <xdr:to>
      <xdr:col>6</xdr:col>
      <xdr:colOff>1068917</xdr:colOff>
      <xdr:row>107</xdr:row>
      <xdr:rowOff>66675</xdr:rowOff>
    </xdr:to>
    <xdr:cxnSp macro="">
      <xdr:nvCxnSpPr>
        <xdr:cNvPr id="15" name="Straight Connector 13">
          <a:extLst>
            <a:ext uri="{FF2B5EF4-FFF2-40B4-BE49-F238E27FC236}">
              <a16:creationId xmlns:a16="http://schemas.microsoft.com/office/drawing/2014/main" id="{728DDD99-36ED-44DA-BC79-53FC0F3C02C3}"/>
            </a:ext>
            <a:ext uri="{147F2762-F138-4A5C-976F-8EAC2B608ADB}">
              <a16:predDERef xmlns:a16="http://schemas.microsoft.com/office/drawing/2014/main" pred="{7DDB96D4-D24B-A37B-B2D6-F3F7D1E44B7F}"/>
            </a:ext>
          </a:extLst>
        </xdr:cNvPr>
        <xdr:cNvCxnSpPr/>
      </xdr:nvCxnSpPr>
      <xdr:spPr>
        <a:xfrm>
          <a:off x="9991637158" y="29667200"/>
          <a:ext cx="278342" cy="31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809625</xdr:colOff>
      <xdr:row>118</xdr:row>
      <xdr:rowOff>123825</xdr:rowOff>
    </xdr:from>
    <xdr:to>
      <xdr:col>6</xdr:col>
      <xdr:colOff>1352550</xdr:colOff>
      <xdr:row>118</xdr:row>
      <xdr:rowOff>123825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DCAF4C17-8025-4EFA-87B7-17988E729B8A}"/>
            </a:ext>
          </a:extLst>
        </xdr:cNvPr>
        <xdr:cNvCxnSpPr/>
      </xdr:nvCxnSpPr>
      <xdr:spPr>
        <a:xfrm flipH="1">
          <a:off x="9988172175" y="33156525"/>
          <a:ext cx="5429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952500</xdr:colOff>
      <xdr:row>123</xdr:row>
      <xdr:rowOff>66675</xdr:rowOff>
    </xdr:from>
    <xdr:to>
      <xdr:col>6</xdr:col>
      <xdr:colOff>1228725</xdr:colOff>
      <xdr:row>123</xdr:row>
      <xdr:rowOff>66675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DB386F82-7A32-4D80-9513-DBECE3DA0E0A}"/>
            </a:ext>
            <a:ext uri="{147F2762-F138-4A5C-976F-8EAC2B608ADB}">
              <a16:predDERef xmlns:a16="http://schemas.microsoft.com/office/drawing/2014/main" pred="{7DDB96D4-D24B-A37B-B2D6-F3F7D1E44B7F}"/>
            </a:ext>
          </a:extLst>
        </xdr:cNvPr>
        <xdr:cNvCxnSpPr/>
      </xdr:nvCxnSpPr>
      <xdr:spPr>
        <a:xfrm>
          <a:off x="9988296000" y="30232350"/>
          <a:ext cx="2762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790575</xdr:colOff>
      <xdr:row>125</xdr:row>
      <xdr:rowOff>63500</xdr:rowOff>
    </xdr:from>
    <xdr:to>
      <xdr:col>6</xdr:col>
      <xdr:colOff>1068917</xdr:colOff>
      <xdr:row>125</xdr:row>
      <xdr:rowOff>66675</xdr:rowOff>
    </xdr:to>
    <xdr:cxnSp macro="">
      <xdr:nvCxnSpPr>
        <xdr:cNvPr id="16" name="Straight Connector 13">
          <a:extLst>
            <a:ext uri="{FF2B5EF4-FFF2-40B4-BE49-F238E27FC236}">
              <a16:creationId xmlns:a16="http://schemas.microsoft.com/office/drawing/2014/main" id="{BF0EC0A7-5EAD-4608-B3EC-FC2672676C77}"/>
            </a:ext>
            <a:ext uri="{147F2762-F138-4A5C-976F-8EAC2B608ADB}">
              <a16:predDERef xmlns:a16="http://schemas.microsoft.com/office/drawing/2014/main" pred="{7DDB96D4-D24B-A37B-B2D6-F3F7D1E44B7F}"/>
            </a:ext>
          </a:extLst>
        </xdr:cNvPr>
        <xdr:cNvCxnSpPr/>
      </xdr:nvCxnSpPr>
      <xdr:spPr>
        <a:xfrm>
          <a:off x="9988455808" y="30495875"/>
          <a:ext cx="278342" cy="31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885825</xdr:colOff>
      <xdr:row>127</xdr:row>
      <xdr:rowOff>123825</xdr:rowOff>
    </xdr:from>
    <xdr:to>
      <xdr:col>6</xdr:col>
      <xdr:colOff>1304925</xdr:colOff>
      <xdr:row>127</xdr:row>
      <xdr:rowOff>123825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72073FE7-5F00-47CF-96CE-A14BA72DBB7F}"/>
            </a:ext>
            <a:ext uri="{147F2762-F138-4A5C-976F-8EAC2B608ADB}">
              <a16:predDERef xmlns:a16="http://schemas.microsoft.com/office/drawing/2014/main" pred="{7DDB96D4-D24B-A37B-B2D6-F3F7D1E44B7F}"/>
            </a:ext>
          </a:extLst>
        </xdr:cNvPr>
        <xdr:cNvCxnSpPr/>
      </xdr:nvCxnSpPr>
      <xdr:spPr>
        <a:xfrm>
          <a:off x="9988219800" y="35842575"/>
          <a:ext cx="4191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800100</xdr:colOff>
      <xdr:row>128</xdr:row>
      <xdr:rowOff>238125</xdr:rowOff>
    </xdr:from>
    <xdr:to>
      <xdr:col>6</xdr:col>
      <xdr:colOff>1238250</xdr:colOff>
      <xdr:row>128</xdr:row>
      <xdr:rowOff>238125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9B5A28B3-97F8-8D41-9402-CBA6313A9056}"/>
            </a:ext>
          </a:extLst>
        </xdr:cNvPr>
        <xdr:cNvCxnSpPr/>
      </xdr:nvCxnSpPr>
      <xdr:spPr>
        <a:xfrm flipH="1">
          <a:off x="9988286475" y="36337875"/>
          <a:ext cx="4381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942975</xdr:colOff>
      <xdr:row>134</xdr:row>
      <xdr:rowOff>47625</xdr:rowOff>
    </xdr:from>
    <xdr:to>
      <xdr:col>6</xdr:col>
      <xdr:colOff>1362075</xdr:colOff>
      <xdr:row>134</xdr:row>
      <xdr:rowOff>47625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4297FE0D-5B61-4EC7-A0D2-BD8DBCD4C40B}"/>
            </a:ext>
            <a:ext uri="{147F2762-F138-4A5C-976F-8EAC2B608ADB}">
              <a16:predDERef xmlns:a16="http://schemas.microsoft.com/office/drawing/2014/main" pred="{7DDB96D4-D24B-A37B-B2D6-F3F7D1E44B7F}"/>
            </a:ext>
          </a:extLst>
        </xdr:cNvPr>
        <xdr:cNvCxnSpPr/>
      </xdr:nvCxnSpPr>
      <xdr:spPr>
        <a:xfrm>
          <a:off x="9988162650" y="9601200"/>
          <a:ext cx="4191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677334</xdr:colOff>
      <xdr:row>16</xdr:row>
      <xdr:rowOff>93133</xdr:rowOff>
    </xdr:from>
    <xdr:to>
      <xdr:col>5</xdr:col>
      <xdr:colOff>956734</xdr:colOff>
      <xdr:row>16</xdr:row>
      <xdr:rowOff>101600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6B768EDE-6654-2379-ECB9-1C1F0FB0574A}"/>
            </a:ext>
          </a:extLst>
        </xdr:cNvPr>
        <xdr:cNvCxnSpPr/>
      </xdr:nvCxnSpPr>
      <xdr:spPr>
        <a:xfrm flipV="1">
          <a:off x="9988617733" y="5300133"/>
          <a:ext cx="279400" cy="846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448733</xdr:colOff>
      <xdr:row>20</xdr:row>
      <xdr:rowOff>76200</xdr:rowOff>
    </xdr:from>
    <xdr:to>
      <xdr:col>5</xdr:col>
      <xdr:colOff>973666</xdr:colOff>
      <xdr:row>20</xdr:row>
      <xdr:rowOff>84667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3F4AAB31-154F-467B-FA98-6D3998264A43}"/>
            </a:ext>
          </a:extLst>
        </xdr:cNvPr>
        <xdr:cNvCxnSpPr/>
      </xdr:nvCxnSpPr>
      <xdr:spPr>
        <a:xfrm>
          <a:off x="9988499200" y="6620933"/>
          <a:ext cx="524933" cy="846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406399</xdr:colOff>
      <xdr:row>21</xdr:row>
      <xdr:rowOff>101600</xdr:rowOff>
    </xdr:from>
    <xdr:to>
      <xdr:col>5</xdr:col>
      <xdr:colOff>761999</xdr:colOff>
      <xdr:row>21</xdr:row>
      <xdr:rowOff>101600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4FEBC4D-8EF5-57B0-C26A-A71D7F83403E}"/>
            </a:ext>
          </a:extLst>
        </xdr:cNvPr>
        <xdr:cNvCxnSpPr/>
      </xdr:nvCxnSpPr>
      <xdr:spPr>
        <a:xfrm>
          <a:off x="9988710867" y="7069667"/>
          <a:ext cx="3556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677333</xdr:colOff>
      <xdr:row>31</xdr:row>
      <xdr:rowOff>110067</xdr:rowOff>
    </xdr:from>
    <xdr:to>
      <xdr:col>5</xdr:col>
      <xdr:colOff>965200</xdr:colOff>
      <xdr:row>31</xdr:row>
      <xdr:rowOff>118533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C8DC49AC-65BE-B629-26B5-6607BCA2F4FF}"/>
            </a:ext>
          </a:extLst>
        </xdr:cNvPr>
        <xdr:cNvCxnSpPr/>
      </xdr:nvCxnSpPr>
      <xdr:spPr>
        <a:xfrm flipH="1">
          <a:off x="9988516133" y="11336867"/>
          <a:ext cx="287867" cy="846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677333</xdr:colOff>
      <xdr:row>30</xdr:row>
      <xdr:rowOff>76200</xdr:rowOff>
    </xdr:from>
    <xdr:to>
      <xdr:col>5</xdr:col>
      <xdr:colOff>922866</xdr:colOff>
      <xdr:row>30</xdr:row>
      <xdr:rowOff>118533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D790A35E-7889-60CA-1923-DE2CD81BB2FE}"/>
            </a:ext>
          </a:extLst>
        </xdr:cNvPr>
        <xdr:cNvCxnSpPr/>
      </xdr:nvCxnSpPr>
      <xdr:spPr>
        <a:xfrm>
          <a:off x="9988558467" y="10981267"/>
          <a:ext cx="245533" cy="4233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550333</xdr:colOff>
      <xdr:row>28</xdr:row>
      <xdr:rowOff>228600</xdr:rowOff>
    </xdr:from>
    <xdr:to>
      <xdr:col>5</xdr:col>
      <xdr:colOff>965200</xdr:colOff>
      <xdr:row>28</xdr:row>
      <xdr:rowOff>237066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FCF743FF-A682-330C-F106-CEBE08BB4F33}"/>
            </a:ext>
          </a:extLst>
        </xdr:cNvPr>
        <xdr:cNvCxnSpPr/>
      </xdr:nvCxnSpPr>
      <xdr:spPr>
        <a:xfrm flipH="1">
          <a:off x="9988516133" y="10371667"/>
          <a:ext cx="414867" cy="846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359834</xdr:colOff>
      <xdr:row>33</xdr:row>
      <xdr:rowOff>127000</xdr:rowOff>
    </xdr:from>
    <xdr:to>
      <xdr:col>5</xdr:col>
      <xdr:colOff>941917</xdr:colOff>
      <xdr:row>33</xdr:row>
      <xdr:rowOff>137583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B11FCB99-598C-A4F6-2B83-9D70A7255F0D}"/>
            </a:ext>
          </a:extLst>
        </xdr:cNvPr>
        <xdr:cNvCxnSpPr/>
      </xdr:nvCxnSpPr>
      <xdr:spPr>
        <a:xfrm>
          <a:off x="10057638000" y="11927417"/>
          <a:ext cx="582083" cy="105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412750</xdr:colOff>
      <xdr:row>34</xdr:row>
      <xdr:rowOff>137583</xdr:rowOff>
    </xdr:from>
    <xdr:to>
      <xdr:col>5</xdr:col>
      <xdr:colOff>867834</xdr:colOff>
      <xdr:row>34</xdr:row>
      <xdr:rowOff>137583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48F871D6-74EE-3AE9-6DCC-6B09E65826C2}"/>
            </a:ext>
          </a:extLst>
        </xdr:cNvPr>
        <xdr:cNvCxnSpPr/>
      </xdr:nvCxnSpPr>
      <xdr:spPr>
        <a:xfrm>
          <a:off x="10057712083" y="12319000"/>
          <a:ext cx="45508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317500</xdr:colOff>
      <xdr:row>35</xdr:row>
      <xdr:rowOff>127000</xdr:rowOff>
    </xdr:from>
    <xdr:to>
      <xdr:col>5</xdr:col>
      <xdr:colOff>1121834</xdr:colOff>
      <xdr:row>35</xdr:row>
      <xdr:rowOff>137583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3E179873-722E-BC8E-1706-9ECBA33049C8}"/>
            </a:ext>
          </a:extLst>
        </xdr:cNvPr>
        <xdr:cNvCxnSpPr/>
      </xdr:nvCxnSpPr>
      <xdr:spPr>
        <a:xfrm flipV="1">
          <a:off x="10057458083" y="12689417"/>
          <a:ext cx="804334" cy="105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414866</xdr:colOff>
      <xdr:row>36</xdr:row>
      <xdr:rowOff>127000</xdr:rowOff>
    </xdr:from>
    <xdr:to>
      <xdr:col>5</xdr:col>
      <xdr:colOff>990600</xdr:colOff>
      <xdr:row>36</xdr:row>
      <xdr:rowOff>135467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DBB66558-C52E-B8AD-04A7-49AC0DD2376B}"/>
            </a:ext>
          </a:extLst>
        </xdr:cNvPr>
        <xdr:cNvCxnSpPr/>
      </xdr:nvCxnSpPr>
      <xdr:spPr>
        <a:xfrm>
          <a:off x="9988490733" y="13233400"/>
          <a:ext cx="575734" cy="846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465666</xdr:colOff>
      <xdr:row>37</xdr:row>
      <xdr:rowOff>118533</xdr:rowOff>
    </xdr:from>
    <xdr:to>
      <xdr:col>5</xdr:col>
      <xdr:colOff>753533</xdr:colOff>
      <xdr:row>37</xdr:row>
      <xdr:rowOff>135467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C703525B-E435-4A9E-B05E-41A951549CEA}"/>
            </a:ext>
          </a:extLst>
        </xdr:cNvPr>
        <xdr:cNvCxnSpPr/>
      </xdr:nvCxnSpPr>
      <xdr:spPr>
        <a:xfrm>
          <a:off x="9988727800" y="13605933"/>
          <a:ext cx="287867" cy="1693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603250</xdr:colOff>
      <xdr:row>40</xdr:row>
      <xdr:rowOff>116417</xdr:rowOff>
    </xdr:from>
    <xdr:to>
      <xdr:col>5</xdr:col>
      <xdr:colOff>920750</xdr:colOff>
      <xdr:row>40</xdr:row>
      <xdr:rowOff>116417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7AE30F70-B914-7AF8-74D4-89219E20D2C9}"/>
            </a:ext>
          </a:extLst>
        </xdr:cNvPr>
        <xdr:cNvCxnSpPr/>
      </xdr:nvCxnSpPr>
      <xdr:spPr>
        <a:xfrm flipH="1">
          <a:off x="10057659167" y="14636750"/>
          <a:ext cx="317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677334</xdr:colOff>
      <xdr:row>44</xdr:row>
      <xdr:rowOff>93133</xdr:rowOff>
    </xdr:from>
    <xdr:to>
      <xdr:col>5</xdr:col>
      <xdr:colOff>956734</xdr:colOff>
      <xdr:row>44</xdr:row>
      <xdr:rowOff>101600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AACD852B-0263-4090-A7E4-D18855819D64}"/>
            </a:ext>
          </a:extLst>
        </xdr:cNvPr>
        <xdr:cNvCxnSpPr/>
      </xdr:nvCxnSpPr>
      <xdr:spPr>
        <a:xfrm flipV="1">
          <a:off x="10057623183" y="5321300"/>
          <a:ext cx="279400" cy="846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381000</xdr:colOff>
      <xdr:row>48</xdr:row>
      <xdr:rowOff>285750</xdr:rowOff>
    </xdr:from>
    <xdr:to>
      <xdr:col>5</xdr:col>
      <xdr:colOff>740834</xdr:colOff>
      <xdr:row>48</xdr:row>
      <xdr:rowOff>296333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24F4F004-4C1F-D51A-2539-797FA4D1BDA2}"/>
            </a:ext>
          </a:extLst>
        </xdr:cNvPr>
        <xdr:cNvCxnSpPr/>
      </xdr:nvCxnSpPr>
      <xdr:spPr>
        <a:xfrm>
          <a:off x="10057839083" y="17420167"/>
          <a:ext cx="359834" cy="105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529167</xdr:colOff>
      <xdr:row>50</xdr:row>
      <xdr:rowOff>95250</xdr:rowOff>
    </xdr:from>
    <xdr:to>
      <xdr:col>5</xdr:col>
      <xdr:colOff>1026584</xdr:colOff>
      <xdr:row>50</xdr:row>
      <xdr:rowOff>105833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7DDB96D4-D24B-A37B-B2D6-F3F7D1E44B7F}"/>
            </a:ext>
          </a:extLst>
        </xdr:cNvPr>
        <xdr:cNvCxnSpPr/>
      </xdr:nvCxnSpPr>
      <xdr:spPr>
        <a:xfrm flipH="1">
          <a:off x="10057553333" y="18192750"/>
          <a:ext cx="497417" cy="105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431799</xdr:colOff>
      <xdr:row>57</xdr:row>
      <xdr:rowOff>67733</xdr:rowOff>
    </xdr:from>
    <xdr:to>
      <xdr:col>5</xdr:col>
      <xdr:colOff>804333</xdr:colOff>
      <xdr:row>57</xdr:row>
      <xdr:rowOff>67733</xdr:rowOff>
    </xdr:to>
    <xdr:cxnSp macro="">
      <xdr:nvCxnSpPr>
        <xdr:cNvPr id="2" name="Straight Connector 13">
          <a:extLst>
            <a:ext uri="{FF2B5EF4-FFF2-40B4-BE49-F238E27FC236}">
              <a16:creationId xmlns:a16="http://schemas.microsoft.com/office/drawing/2014/main" id="{E77A1CE7-FBF6-4834-B254-E024D8207E69}"/>
            </a:ext>
            <a:ext uri="{147F2762-F138-4A5C-976F-8EAC2B608ADB}">
              <a16:predDERef xmlns:a16="http://schemas.microsoft.com/office/drawing/2014/main" pred="{7DDB96D4-D24B-A37B-B2D6-F3F7D1E44B7F}"/>
            </a:ext>
          </a:extLst>
        </xdr:cNvPr>
        <xdr:cNvCxnSpPr/>
      </xdr:nvCxnSpPr>
      <xdr:spPr>
        <a:xfrm>
          <a:off x="9988820933" y="19989800"/>
          <a:ext cx="37253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677334</xdr:colOff>
      <xdr:row>60</xdr:row>
      <xdr:rowOff>93133</xdr:rowOff>
    </xdr:from>
    <xdr:to>
      <xdr:col>5</xdr:col>
      <xdr:colOff>1041399</xdr:colOff>
      <xdr:row>60</xdr:row>
      <xdr:rowOff>93133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2AE1F29B-F0EC-4FC9-9DFC-B4FCB81FF8E7}"/>
            </a:ext>
          </a:extLst>
        </xdr:cNvPr>
        <xdr:cNvCxnSpPr/>
      </xdr:nvCxnSpPr>
      <xdr:spPr>
        <a:xfrm>
          <a:off x="9988583867" y="20828000"/>
          <a:ext cx="36406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1E04959-238E-4CCD-9E73-48F19CABBC65}" name="Table24" displayName="Table24" ref="B1:D18" totalsRowShown="0" headerRowDxfId="17" dataDxfId="16" tableBorderDxfId="15">
  <autoFilter ref="B1:D18" xr:uid="{D41C8E04-217D-4D01-BC00-7D059D7CB183}"/>
  <tableColumns count="3">
    <tableColumn id="1" xr3:uid="{0E9A632F-274D-40BB-9B93-4169C4ADC89B}" name="الرقم" dataDxfId="14"/>
    <tableColumn id="2" xr3:uid="{964E1CDD-A774-4BE0-921F-A4BD8B4F6A4D}" name="نوع الخدمة" dataDxfId="13"/>
    <tableColumn id="3" xr3:uid="{72556A28-329A-4515-8676-57CB91069C43}" name="السعر" dataDxf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25B40A-1F8C-4E54-8A44-3B7BA14014FE}" name="Table22" displayName="Table22" ref="A5:L323" totalsRowShown="0" headerRowDxfId="31" dataDxfId="30">
  <autoFilter ref="A5:L323" xr:uid="{5B25B40A-1F8C-4E54-8A44-3B7BA14014FE}"/>
  <tableColumns count="12">
    <tableColumn id="1" xr3:uid="{8CF7D93A-944A-44B9-B084-8F334F95FD59}" name="رقم الحالة" dataDxfId="29"/>
    <tableColumn id="2" xr3:uid="{1780CC4E-423D-48FB-B2C3-100C5AD99305}" name="اسم الحالة" dataDxfId="28"/>
    <tableColumn id="3" xr3:uid="{6076F3F1-583C-4566-BA11-9283049EAA2D}" name="الطبيب" dataDxfId="27"/>
    <tableColumn id="14" xr3:uid="{EE8F5311-2CA3-44C2-92C7-1ADA88C96526}" name="نوع العمل" dataDxfId="26"/>
    <tableColumn id="6" xr3:uid="{2B52182E-2780-49D1-AB79-C5489ECC14DF}" name="العدد" dataDxfId="25"/>
    <tableColumn id="12" xr3:uid="{C4973457-0DEB-4A0B-B4FC-85045BB4C7F2}" name="تاريخ الاستلام و تاريخ التسليم " dataDxfId="24"/>
    <tableColumn id="13" xr3:uid="{38CD2EE7-2AC9-49D4-A63D-0949A5668243}" name="مكان الاسنان" dataDxfId="23"/>
    <tableColumn id="11" xr3:uid="{7021F021-6C7C-411B-B796-A4783502A9AD}" name="العيادة" dataDxfId="22"/>
    <tableColumn id="7" xr3:uid="{1425BA52-8D3D-411C-A769-B0856B304A76}" name="ملاحظات" dataDxfId="21"/>
    <tableColumn id="10" xr3:uid="{2B4FACE0-2A3A-46CF-B70A-22685F43F9DA}" name="السعر في الفاتورة" dataDxfId="20"/>
    <tableColumn id="9" xr3:uid="{BDEB5BA4-41FA-447A-8344-4EF39BB51BB4}" name="شهر" dataDxfId="19"/>
    <tableColumn id="4" xr3:uid="{F6948215-5BE5-4A01-B954-8F1031870C89}" name="Column1" dataDxfId="1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E260DC-37D2-4AB1-A94F-59793915F8C8}" name="Table2" displayName="Table2" ref="A5:J62" totalsRowShown="0" headerRowDxfId="11" dataDxfId="10">
  <autoFilter ref="A5:J62" xr:uid="{0CE260DC-37D2-4AB1-A94F-59793915F8C8}"/>
  <tableColumns count="10">
    <tableColumn id="1" xr3:uid="{B4C6B150-068D-4424-9288-F4AD5645FD3F}" name="رقم الحالة" dataDxfId="9"/>
    <tableColumn id="2" xr3:uid="{808D47ED-E3BA-49CA-B369-7D30267544A4}" name="اسم الحالة" dataDxfId="8"/>
    <tableColumn id="3" xr3:uid="{B357FA0C-B6AD-4E88-BB74-9241B057E253}" name="الطبيب" dataDxfId="7"/>
    <tableColumn id="11" xr3:uid="{A6914143-B88B-4580-9758-3BD47F1F1BD6}" name="العيادة" dataDxfId="6"/>
    <tableColumn id="4" xr3:uid="{E60F5B25-1217-476F-8CEA-F1C48BAA7DFF}" name="نوع العمل" dataDxfId="5"/>
    <tableColumn id="5" xr3:uid="{26C5AE74-DA0B-42E6-BA1E-68A43A9E0D0D}" name="مكان الاسنان" dataDxfId="4"/>
    <tableColumn id="6" xr3:uid="{326CA053-B4D2-427F-81E0-9ADEBD9B151E}" name="العدد" dataDxfId="3"/>
    <tableColumn id="7" xr3:uid="{D4752243-12AE-4E21-BC9B-34592F4DD151}" name="ملاحظات" dataDxfId="2"/>
    <tableColumn id="8" xr3:uid="{2ED798F8-40FA-4DC5-89B6-F39E0534F88A}" name="تاريخ الاستلام و تاريخ التسليم " dataDxfId="1"/>
    <tableColumn id="10" xr3:uid="{3A5E70D1-7652-43A6-A876-47D4E119C325}" name="السعر في الفاتورة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36E6E-DC75-4DEB-9931-5002FD2DC186}">
  <sheetPr>
    <pageSetUpPr fitToPage="1"/>
  </sheetPr>
  <dimension ref="B1:L18"/>
  <sheetViews>
    <sheetView rightToLeft="1" workbookViewId="0">
      <selection activeCell="K26" sqref="K26"/>
    </sheetView>
  </sheetViews>
  <sheetFormatPr defaultRowHeight="15" x14ac:dyDescent="0.25"/>
  <cols>
    <col min="1" max="1" width="3.42578125" customWidth="1"/>
    <col min="2" max="2" width="13.140625" customWidth="1"/>
    <col min="3" max="3" width="39.28515625" style="1" customWidth="1"/>
    <col min="4" max="4" width="34.42578125" customWidth="1"/>
    <col min="5" max="5" width="2.7109375" customWidth="1"/>
  </cols>
  <sheetData>
    <row r="1" spans="2:12" ht="23.25" customHeight="1" thickBot="1" x14ac:dyDescent="0.3">
      <c r="B1" s="35" t="s">
        <v>496</v>
      </c>
      <c r="C1" s="35" t="s">
        <v>473</v>
      </c>
      <c r="D1" s="35" t="s">
        <v>474</v>
      </c>
      <c r="E1" s="35"/>
      <c r="F1" s="35"/>
      <c r="G1" s="35"/>
      <c r="H1" s="35"/>
      <c r="I1" s="35"/>
      <c r="J1" s="35"/>
      <c r="K1" s="35"/>
      <c r="L1" s="35"/>
    </row>
    <row r="2" spans="2:12" ht="18.75" x14ac:dyDescent="0.25">
      <c r="B2" s="70">
        <v>1</v>
      </c>
      <c r="C2" s="71" t="s">
        <v>14</v>
      </c>
      <c r="D2" s="72">
        <v>130</v>
      </c>
      <c r="E2" s="35"/>
      <c r="F2" s="35"/>
      <c r="G2" s="69"/>
      <c r="H2" s="35"/>
      <c r="I2" s="35"/>
      <c r="J2" s="69"/>
      <c r="K2" s="35"/>
      <c r="L2" s="35"/>
    </row>
    <row r="3" spans="2:12" ht="18.75" x14ac:dyDescent="0.25">
      <c r="B3" s="73">
        <v>2</v>
      </c>
      <c r="C3" s="35" t="s">
        <v>462</v>
      </c>
      <c r="D3" s="74">
        <v>160</v>
      </c>
      <c r="E3" s="35"/>
      <c r="F3" s="35"/>
      <c r="G3" s="69"/>
      <c r="H3" s="35"/>
      <c r="I3" s="35"/>
      <c r="J3" s="69"/>
      <c r="K3" s="35"/>
      <c r="L3" s="35"/>
    </row>
    <row r="4" spans="2:12" ht="18.75" x14ac:dyDescent="0.25">
      <c r="B4" s="73">
        <v>3</v>
      </c>
      <c r="C4" s="35" t="s">
        <v>463</v>
      </c>
      <c r="D4" s="74">
        <v>40</v>
      </c>
      <c r="E4" s="35"/>
      <c r="F4" s="35"/>
      <c r="G4" s="69"/>
      <c r="H4" s="35"/>
      <c r="I4" s="35"/>
      <c r="J4" s="69"/>
      <c r="K4" s="35"/>
      <c r="L4" s="35"/>
    </row>
    <row r="5" spans="2:12" ht="18.75" x14ac:dyDescent="0.25">
      <c r="B5" s="73">
        <v>4</v>
      </c>
      <c r="C5" s="35" t="s">
        <v>464</v>
      </c>
      <c r="D5" s="74">
        <v>180</v>
      </c>
      <c r="E5" s="35"/>
      <c r="F5" s="35"/>
      <c r="G5" s="69"/>
      <c r="H5" s="35"/>
      <c r="I5" s="35"/>
      <c r="J5" s="69"/>
      <c r="K5" s="35"/>
      <c r="L5" s="35"/>
    </row>
    <row r="6" spans="2:12" ht="18.75" x14ac:dyDescent="0.25">
      <c r="B6" s="73">
        <v>5</v>
      </c>
      <c r="C6" s="35" t="s">
        <v>133</v>
      </c>
      <c r="D6" s="74">
        <v>190</v>
      </c>
      <c r="E6" s="35"/>
      <c r="F6" s="35"/>
      <c r="G6" s="69"/>
      <c r="H6" s="35"/>
      <c r="I6" s="35"/>
      <c r="J6" s="69"/>
      <c r="K6" s="35"/>
      <c r="L6" s="35"/>
    </row>
    <row r="7" spans="2:12" ht="18.75" x14ac:dyDescent="0.25">
      <c r="B7" s="73">
        <v>6</v>
      </c>
      <c r="C7" s="35" t="s">
        <v>465</v>
      </c>
      <c r="D7" s="74">
        <v>80</v>
      </c>
      <c r="E7" s="35"/>
      <c r="F7" s="35"/>
      <c r="G7" s="69"/>
      <c r="H7" s="35"/>
      <c r="I7" s="35"/>
      <c r="J7" s="69"/>
      <c r="K7" s="35"/>
      <c r="L7" s="35"/>
    </row>
    <row r="8" spans="2:12" ht="18.75" x14ac:dyDescent="0.25">
      <c r="B8" s="73">
        <v>7</v>
      </c>
      <c r="C8" s="35" t="s">
        <v>466</v>
      </c>
      <c r="D8" s="74">
        <v>40</v>
      </c>
      <c r="E8" s="35"/>
      <c r="F8" s="35"/>
      <c r="G8" s="69"/>
      <c r="H8" s="35"/>
      <c r="I8" s="35"/>
      <c r="J8" s="69"/>
      <c r="K8" s="35"/>
      <c r="L8" s="35"/>
    </row>
    <row r="9" spans="2:12" ht="18.75" x14ac:dyDescent="0.25">
      <c r="B9" s="73">
        <v>8</v>
      </c>
      <c r="C9" s="35" t="s">
        <v>467</v>
      </c>
      <c r="D9" s="74">
        <v>160</v>
      </c>
      <c r="E9" s="35"/>
      <c r="F9" s="35"/>
      <c r="G9" s="69"/>
      <c r="H9" s="35"/>
      <c r="I9" s="35"/>
      <c r="J9" s="69"/>
      <c r="K9" s="35"/>
      <c r="L9" s="35"/>
    </row>
    <row r="10" spans="2:12" ht="18.75" x14ac:dyDescent="0.25">
      <c r="B10" s="73">
        <v>9</v>
      </c>
      <c r="C10" s="35" t="s">
        <v>468</v>
      </c>
      <c r="D10" s="74">
        <v>90</v>
      </c>
      <c r="E10" s="35"/>
      <c r="F10" s="35"/>
      <c r="G10" s="69"/>
      <c r="H10" s="35"/>
      <c r="I10" s="35"/>
      <c r="J10" s="69"/>
      <c r="K10" s="35"/>
      <c r="L10" s="35"/>
    </row>
    <row r="11" spans="2:12" ht="18.75" x14ac:dyDescent="0.25">
      <c r="B11" s="73">
        <v>10</v>
      </c>
      <c r="C11" s="35" t="s">
        <v>469</v>
      </c>
      <c r="D11" s="74">
        <v>80</v>
      </c>
      <c r="E11" s="35"/>
      <c r="F11" s="35"/>
      <c r="G11" s="69"/>
      <c r="H11" s="35"/>
      <c r="I11" s="35"/>
      <c r="J11" s="69"/>
      <c r="K11" s="35"/>
      <c r="L11" s="35"/>
    </row>
    <row r="12" spans="2:12" ht="18.75" x14ac:dyDescent="0.25">
      <c r="B12" s="73">
        <v>11</v>
      </c>
      <c r="C12" s="35" t="s">
        <v>470</v>
      </c>
      <c r="D12" s="74">
        <v>25</v>
      </c>
      <c r="E12" s="35"/>
      <c r="F12" s="35"/>
      <c r="G12" s="69"/>
      <c r="H12" s="35"/>
      <c r="I12" s="35"/>
      <c r="J12" s="69"/>
      <c r="K12" s="35"/>
      <c r="L12" s="35"/>
    </row>
    <row r="13" spans="2:12" ht="18.75" x14ac:dyDescent="0.25">
      <c r="B13" s="73">
        <v>12</v>
      </c>
      <c r="C13" s="35" t="s">
        <v>471</v>
      </c>
      <c r="D13" s="74">
        <v>30</v>
      </c>
      <c r="E13" s="35"/>
      <c r="F13" s="35"/>
      <c r="G13" s="69"/>
      <c r="H13" s="35"/>
      <c r="I13" s="35"/>
      <c r="J13" s="69"/>
      <c r="K13" s="35"/>
      <c r="L13" s="35"/>
    </row>
    <row r="14" spans="2:12" ht="18.75" x14ac:dyDescent="0.25">
      <c r="B14" s="73">
        <v>13</v>
      </c>
      <c r="C14" s="35" t="s">
        <v>438</v>
      </c>
      <c r="D14" s="74">
        <v>50</v>
      </c>
      <c r="E14" s="35"/>
      <c r="F14" s="35"/>
      <c r="G14" s="69"/>
      <c r="H14" s="35"/>
      <c r="I14" s="35"/>
      <c r="J14" s="69"/>
      <c r="K14" s="35"/>
      <c r="L14" s="35"/>
    </row>
    <row r="15" spans="2:12" ht="18.75" x14ac:dyDescent="0.25">
      <c r="B15" s="73">
        <v>14</v>
      </c>
      <c r="C15" s="35" t="s">
        <v>497</v>
      </c>
      <c r="D15" s="74">
        <v>50</v>
      </c>
      <c r="E15" s="35"/>
      <c r="F15" s="35"/>
      <c r="G15" s="69"/>
      <c r="H15" s="35"/>
      <c r="I15" s="35"/>
      <c r="J15" s="69"/>
      <c r="K15" s="35"/>
      <c r="L15" s="35"/>
    </row>
    <row r="16" spans="2:12" ht="22.5" customHeight="1" x14ac:dyDescent="0.25">
      <c r="B16" s="35">
        <v>15</v>
      </c>
      <c r="C16" s="35" t="s">
        <v>472</v>
      </c>
      <c r="D16" s="69">
        <v>50</v>
      </c>
      <c r="E16" s="35"/>
      <c r="F16" s="35"/>
      <c r="G16" s="69"/>
      <c r="H16" s="35"/>
      <c r="I16" s="35"/>
      <c r="J16" s="69"/>
      <c r="K16" s="35"/>
      <c r="L16" s="35"/>
    </row>
    <row r="17" spans="2:4" ht="18.75" x14ac:dyDescent="0.25">
      <c r="B17" s="35">
        <v>16</v>
      </c>
      <c r="C17" s="35" t="s">
        <v>498</v>
      </c>
      <c r="D17" s="69">
        <v>250</v>
      </c>
    </row>
    <row r="18" spans="2:4" ht="18.75" x14ac:dyDescent="0.25">
      <c r="B18" s="73">
        <v>17</v>
      </c>
      <c r="C18" s="35" t="s">
        <v>499</v>
      </c>
      <c r="D18" s="74">
        <v>50</v>
      </c>
    </row>
  </sheetData>
  <printOptions horizontalCentered="1"/>
  <pageMargins left="0.7" right="0.7" top="0.75" bottom="0.75" header="0.3" footer="0.3"/>
  <pageSetup paperSize="9" scale="55" fitToHeight="0"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09729-15BC-4A2D-8B05-51EF8775B28E}">
  <dimension ref="A1:O323"/>
  <sheetViews>
    <sheetView rightToLeft="1" tabSelected="1" topLeftCell="A125" zoomScaleNormal="100" workbookViewId="0">
      <selection activeCell="D147" sqref="C147:D147"/>
    </sheetView>
  </sheetViews>
  <sheetFormatPr defaultRowHeight="15" x14ac:dyDescent="0.25"/>
  <cols>
    <col min="1" max="1" width="11.140625" style="1" customWidth="1"/>
    <col min="2" max="2" width="30.5703125" style="1" customWidth="1"/>
    <col min="3" max="3" width="20.7109375" style="1" customWidth="1"/>
    <col min="4" max="4" width="30.5703125" style="1" customWidth="1"/>
    <col min="6" max="7" width="30.5703125" style="1" customWidth="1"/>
    <col min="8" max="8" width="14.42578125" customWidth="1"/>
    <col min="9" max="9" width="16.28515625" customWidth="1"/>
    <col min="10" max="10" width="14.7109375" style="1" customWidth="1"/>
    <col min="11" max="11" width="16.28515625" customWidth="1"/>
    <col min="12" max="12" width="33.85546875" customWidth="1"/>
    <col min="13" max="13" width="17.5703125" customWidth="1"/>
    <col min="14" max="14" width="11.85546875" customWidth="1"/>
  </cols>
  <sheetData>
    <row r="1" spans="1:12" x14ac:dyDescent="0.25">
      <c r="H1" s="1"/>
      <c r="J1"/>
    </row>
    <row r="2" spans="1:12" x14ac:dyDescent="0.25">
      <c r="H2" s="1"/>
      <c r="J2"/>
    </row>
    <row r="3" spans="1:12" x14ac:dyDescent="0.25">
      <c r="H3" s="1"/>
      <c r="J3"/>
    </row>
    <row r="4" spans="1:12" x14ac:dyDescent="0.25">
      <c r="H4" s="1"/>
      <c r="J4"/>
    </row>
    <row r="5" spans="1:12" ht="35.450000000000003" customHeight="1" x14ac:dyDescent="0.25">
      <c r="A5" s="1" t="s">
        <v>0</v>
      </c>
      <c r="B5" s="1" t="s">
        <v>1</v>
      </c>
      <c r="C5" s="1" t="s">
        <v>2</v>
      </c>
      <c r="D5" s="1" t="s">
        <v>4</v>
      </c>
      <c r="E5" s="1" t="s">
        <v>6</v>
      </c>
      <c r="F5" s="11" t="s">
        <v>8</v>
      </c>
      <c r="G5" s="1" t="s">
        <v>5</v>
      </c>
      <c r="H5" s="1" t="s">
        <v>3</v>
      </c>
      <c r="I5" s="1" t="s">
        <v>7</v>
      </c>
      <c r="J5" s="1" t="s">
        <v>9</v>
      </c>
      <c r="K5" s="49" t="s">
        <v>10</v>
      </c>
      <c r="L5" s="1" t="s">
        <v>492</v>
      </c>
    </row>
    <row r="6" spans="1:12" ht="24.95" customHeight="1" x14ac:dyDescent="0.25">
      <c r="A6" s="1">
        <v>145</v>
      </c>
      <c r="B6" s="1" t="s">
        <v>11</v>
      </c>
      <c r="C6" s="1" t="s">
        <v>36</v>
      </c>
      <c r="D6" s="1" t="s">
        <v>14</v>
      </c>
      <c r="E6" s="1">
        <v>1</v>
      </c>
      <c r="F6" s="24" t="s">
        <v>17</v>
      </c>
      <c r="G6" s="36" t="s">
        <v>15</v>
      </c>
      <c r="H6" s="1" t="s">
        <v>314</v>
      </c>
      <c r="I6" s="1" t="s">
        <v>16</v>
      </c>
      <c r="K6" s="50" t="s">
        <v>18</v>
      </c>
      <c r="L6" s="1"/>
    </row>
    <row r="7" spans="1:12" ht="24.95" customHeight="1" x14ac:dyDescent="0.25">
      <c r="A7" s="1">
        <v>146</v>
      </c>
      <c r="B7" s="1" t="s">
        <v>19</v>
      </c>
      <c r="C7" s="1" t="s">
        <v>36</v>
      </c>
      <c r="D7" s="1" t="s">
        <v>14</v>
      </c>
      <c r="E7" s="1">
        <v>1</v>
      </c>
      <c r="F7" s="24" t="s">
        <v>21</v>
      </c>
      <c r="G7" s="36" t="s">
        <v>20</v>
      </c>
      <c r="H7" s="1" t="s">
        <v>314</v>
      </c>
      <c r="I7" s="1"/>
      <c r="K7" s="52" t="s">
        <v>18</v>
      </c>
      <c r="L7" s="1"/>
    </row>
    <row r="8" spans="1:12" ht="24.95" customHeight="1" x14ac:dyDescent="0.25">
      <c r="A8" s="1">
        <v>147</v>
      </c>
      <c r="B8" s="1" t="s">
        <v>22</v>
      </c>
      <c r="C8" s="1" t="s">
        <v>36</v>
      </c>
      <c r="D8" s="1" t="s">
        <v>14</v>
      </c>
      <c r="E8" s="1">
        <v>1</v>
      </c>
      <c r="F8" s="24" t="s">
        <v>24</v>
      </c>
      <c r="G8" s="36" t="s">
        <v>15</v>
      </c>
      <c r="H8" s="1" t="s">
        <v>314</v>
      </c>
      <c r="I8" s="1" t="s">
        <v>23</v>
      </c>
      <c r="K8" s="50" t="s">
        <v>18</v>
      </c>
      <c r="L8" s="1"/>
    </row>
    <row r="9" spans="1:12" ht="24.95" customHeight="1" x14ac:dyDescent="0.25">
      <c r="A9" s="1">
        <v>148</v>
      </c>
      <c r="B9" s="1" t="s">
        <v>25</v>
      </c>
      <c r="C9" s="1" t="s">
        <v>236</v>
      </c>
      <c r="D9" s="1" t="s">
        <v>14</v>
      </c>
      <c r="E9" s="1">
        <v>4</v>
      </c>
      <c r="F9" s="24" t="s">
        <v>28</v>
      </c>
      <c r="G9" s="36" t="s">
        <v>27</v>
      </c>
      <c r="H9" s="1" t="s">
        <v>314</v>
      </c>
      <c r="I9" s="1"/>
      <c r="K9" s="52" t="s">
        <v>18</v>
      </c>
      <c r="L9" s="1"/>
    </row>
    <row r="10" spans="1:12" ht="24.95" customHeight="1" x14ac:dyDescent="0.25">
      <c r="A10" s="1">
        <v>149</v>
      </c>
      <c r="B10" s="1" t="s">
        <v>29</v>
      </c>
      <c r="C10" s="1" t="s">
        <v>236</v>
      </c>
      <c r="D10" s="1" t="s">
        <v>14</v>
      </c>
      <c r="E10" s="1">
        <v>12</v>
      </c>
      <c r="F10" s="24"/>
      <c r="G10" s="37" t="s">
        <v>30</v>
      </c>
      <c r="H10" s="1" t="s">
        <v>314</v>
      </c>
      <c r="I10" s="39" t="s">
        <v>31</v>
      </c>
      <c r="K10" s="50" t="s">
        <v>18</v>
      </c>
      <c r="L10" s="1"/>
    </row>
    <row r="11" spans="1:12" ht="24.95" customHeight="1" x14ac:dyDescent="0.25">
      <c r="A11" s="1">
        <v>150</v>
      </c>
      <c r="B11" s="1" t="s">
        <v>32</v>
      </c>
      <c r="C11" s="1" t="s">
        <v>236</v>
      </c>
      <c r="D11" s="1" t="s">
        <v>14</v>
      </c>
      <c r="E11" s="1">
        <v>3</v>
      </c>
      <c r="F11" s="24" t="s">
        <v>34</v>
      </c>
      <c r="G11" s="40" t="s">
        <v>33</v>
      </c>
      <c r="H11" s="1" t="s">
        <v>314</v>
      </c>
      <c r="I11" s="1"/>
      <c r="K11" s="52" t="s">
        <v>18</v>
      </c>
      <c r="L11" s="1"/>
    </row>
    <row r="12" spans="1:12" ht="24.95" customHeight="1" x14ac:dyDescent="0.25">
      <c r="A12" s="1">
        <v>151</v>
      </c>
      <c r="B12" s="1" t="s">
        <v>35</v>
      </c>
      <c r="C12" s="1" t="s">
        <v>236</v>
      </c>
      <c r="D12" s="1" t="s">
        <v>14</v>
      </c>
      <c r="E12" s="1">
        <v>1</v>
      </c>
      <c r="F12" s="24" t="s">
        <v>38</v>
      </c>
      <c r="G12" s="25" t="s">
        <v>37</v>
      </c>
      <c r="H12" s="1" t="s">
        <v>314</v>
      </c>
      <c r="I12" s="1"/>
      <c r="K12" s="50" t="s">
        <v>18</v>
      </c>
      <c r="L12" s="1"/>
    </row>
    <row r="13" spans="1:12" ht="24.95" customHeight="1" x14ac:dyDescent="0.25">
      <c r="A13" s="17">
        <v>152</v>
      </c>
      <c r="B13" s="17" t="s">
        <v>39</v>
      </c>
      <c r="C13" s="17" t="s">
        <v>236</v>
      </c>
      <c r="D13" s="17" t="s">
        <v>14</v>
      </c>
      <c r="E13" s="17">
        <v>4</v>
      </c>
      <c r="F13" s="24" t="s">
        <v>43</v>
      </c>
      <c r="G13" s="17" t="s">
        <v>41</v>
      </c>
      <c r="H13" s="17" t="s">
        <v>314</v>
      </c>
      <c r="I13" s="17" t="s">
        <v>42</v>
      </c>
      <c r="J13" s="17"/>
      <c r="K13" s="52" t="s">
        <v>18</v>
      </c>
      <c r="L13" s="1"/>
    </row>
    <row r="14" spans="1:12" ht="24.95" customHeight="1" x14ac:dyDescent="0.25">
      <c r="A14" s="1">
        <v>153</v>
      </c>
      <c r="B14" s="1" t="s">
        <v>44</v>
      </c>
      <c r="C14" s="1" t="s">
        <v>236</v>
      </c>
      <c r="D14" s="1" t="s">
        <v>14</v>
      </c>
      <c r="E14" s="1">
        <v>1</v>
      </c>
      <c r="F14" s="24" t="s">
        <v>46</v>
      </c>
      <c r="G14" s="1" t="s">
        <v>45</v>
      </c>
      <c r="H14" s="1" t="s">
        <v>314</v>
      </c>
      <c r="I14" s="1"/>
      <c r="K14" s="50" t="s">
        <v>18</v>
      </c>
      <c r="L14" s="1"/>
    </row>
    <row r="15" spans="1:12" ht="24.95" customHeight="1" x14ac:dyDescent="0.25">
      <c r="A15" s="1">
        <v>154</v>
      </c>
      <c r="B15" s="1" t="s">
        <v>47</v>
      </c>
      <c r="C15" s="1" t="s">
        <v>236</v>
      </c>
      <c r="D15" s="1" t="s">
        <v>14</v>
      </c>
      <c r="E15" s="1">
        <v>1</v>
      </c>
      <c r="F15" s="24" t="s">
        <v>46</v>
      </c>
      <c r="G15" s="1" t="s">
        <v>48</v>
      </c>
      <c r="H15" s="1" t="s">
        <v>314</v>
      </c>
      <c r="I15" s="1"/>
      <c r="K15" s="52" t="s">
        <v>18</v>
      </c>
      <c r="L15" s="1"/>
    </row>
    <row r="16" spans="1:12" ht="24.95" customHeight="1" thickBot="1" x14ac:dyDescent="0.3">
      <c r="A16" s="6">
        <v>155</v>
      </c>
      <c r="B16" s="6" t="s">
        <v>49</v>
      </c>
      <c r="C16" s="6" t="s">
        <v>236</v>
      </c>
      <c r="D16" s="6" t="s">
        <v>14</v>
      </c>
      <c r="E16" s="6">
        <v>1</v>
      </c>
      <c r="F16" s="24" t="s">
        <v>46</v>
      </c>
      <c r="G16" s="42" t="s">
        <v>51</v>
      </c>
      <c r="H16" s="6" t="s">
        <v>314</v>
      </c>
      <c r="I16" s="6"/>
      <c r="J16" s="6"/>
      <c r="K16" s="53" t="s">
        <v>18</v>
      </c>
      <c r="L16" s="1"/>
    </row>
    <row r="17" spans="1:12" ht="24.95" customHeight="1" thickTop="1" x14ac:dyDescent="0.25">
      <c r="A17" s="1">
        <v>156</v>
      </c>
      <c r="B17" s="1" t="s">
        <v>52</v>
      </c>
      <c r="C17" s="1" t="s">
        <v>236</v>
      </c>
      <c r="D17" s="1" t="s">
        <v>14</v>
      </c>
      <c r="E17" s="1">
        <v>1</v>
      </c>
      <c r="F17" s="24" t="s">
        <v>53</v>
      </c>
      <c r="G17" s="1" t="s">
        <v>48</v>
      </c>
      <c r="H17" s="1" t="s">
        <v>314</v>
      </c>
      <c r="I17" s="1"/>
      <c r="K17" s="54" t="s">
        <v>262</v>
      </c>
      <c r="L17" s="1"/>
    </row>
    <row r="18" spans="1:12" ht="24.95" customHeight="1" x14ac:dyDescent="0.25">
      <c r="B18" s="1" t="s">
        <v>54</v>
      </c>
      <c r="C18" s="1" t="s">
        <v>236</v>
      </c>
      <c r="D18" s="1" t="s">
        <v>55</v>
      </c>
      <c r="E18" s="1"/>
      <c r="F18" s="24" t="s">
        <v>56</v>
      </c>
      <c r="H18" s="1" t="s">
        <v>314</v>
      </c>
      <c r="I18" s="1"/>
      <c r="K18" s="54" t="s">
        <v>262</v>
      </c>
      <c r="L18" s="1"/>
    </row>
    <row r="19" spans="1:12" ht="24.95" customHeight="1" x14ac:dyDescent="0.25">
      <c r="A19" s="1">
        <v>157</v>
      </c>
      <c r="B19" s="1" t="s">
        <v>52</v>
      </c>
      <c r="C19" s="1" t="s">
        <v>236</v>
      </c>
      <c r="D19" s="1" t="s">
        <v>14</v>
      </c>
      <c r="E19" s="1">
        <v>1</v>
      </c>
      <c r="F19" s="24" t="s">
        <v>58</v>
      </c>
      <c r="G19" s="1" t="s">
        <v>57</v>
      </c>
      <c r="H19" s="1" t="s">
        <v>314</v>
      </c>
      <c r="I19" s="1"/>
      <c r="K19" s="54" t="s">
        <v>262</v>
      </c>
      <c r="L19" s="1"/>
    </row>
    <row r="20" spans="1:12" ht="24.95" customHeight="1" x14ac:dyDescent="0.25">
      <c r="A20" s="1">
        <v>158</v>
      </c>
      <c r="B20" s="1" t="s">
        <v>59</v>
      </c>
      <c r="C20" s="1" t="s">
        <v>236</v>
      </c>
      <c r="D20" s="1" t="s">
        <v>14</v>
      </c>
      <c r="E20" s="1">
        <v>2</v>
      </c>
      <c r="F20" s="24" t="s">
        <v>62</v>
      </c>
      <c r="G20" s="1" t="s">
        <v>60</v>
      </c>
      <c r="H20" s="1" t="s">
        <v>314</v>
      </c>
      <c r="I20" s="39" t="s">
        <v>61</v>
      </c>
      <c r="K20" s="54" t="s">
        <v>262</v>
      </c>
      <c r="L20" s="1"/>
    </row>
    <row r="21" spans="1:12" ht="24.95" customHeight="1" x14ac:dyDescent="0.25">
      <c r="A21" s="1">
        <v>159</v>
      </c>
      <c r="B21" s="1" t="s">
        <v>63</v>
      </c>
      <c r="C21" s="1" t="s">
        <v>236</v>
      </c>
      <c r="D21" s="1" t="s">
        <v>14</v>
      </c>
      <c r="E21" s="1">
        <v>2</v>
      </c>
      <c r="F21" s="24" t="s">
        <v>66</v>
      </c>
      <c r="G21" s="41" t="s">
        <v>64</v>
      </c>
      <c r="H21" s="1" t="s">
        <v>314</v>
      </c>
      <c r="I21" s="26" t="s">
        <v>65</v>
      </c>
      <c r="K21" s="54" t="s">
        <v>262</v>
      </c>
      <c r="L21" s="1"/>
    </row>
    <row r="22" spans="1:12" ht="24.95" customHeight="1" x14ac:dyDescent="0.25">
      <c r="A22" s="1">
        <v>160</v>
      </c>
      <c r="B22" s="1" t="s">
        <v>260</v>
      </c>
      <c r="C22" s="1" t="s">
        <v>236</v>
      </c>
      <c r="D22" s="1" t="s">
        <v>14</v>
      </c>
      <c r="E22" s="1">
        <v>5</v>
      </c>
      <c r="F22" s="24" t="s">
        <v>69</v>
      </c>
      <c r="G22" s="1" t="s">
        <v>68</v>
      </c>
      <c r="H22" s="1" t="s">
        <v>314</v>
      </c>
      <c r="I22" s="1"/>
      <c r="K22" s="54" t="s">
        <v>262</v>
      </c>
      <c r="L22" s="1"/>
    </row>
    <row r="23" spans="1:12" ht="24.95" customHeight="1" x14ac:dyDescent="0.25">
      <c r="A23" s="1">
        <v>161</v>
      </c>
      <c r="B23" s="1" t="s">
        <v>70</v>
      </c>
      <c r="C23" s="1" t="s">
        <v>236</v>
      </c>
      <c r="D23" s="1" t="s">
        <v>14</v>
      </c>
      <c r="E23" s="1">
        <v>3</v>
      </c>
      <c r="F23" s="24" t="s">
        <v>72</v>
      </c>
      <c r="G23" s="36" t="s">
        <v>71</v>
      </c>
      <c r="H23" s="1" t="s">
        <v>314</v>
      </c>
      <c r="I23" s="1"/>
      <c r="K23" s="54" t="s">
        <v>262</v>
      </c>
      <c r="L23" s="1"/>
    </row>
    <row r="24" spans="1:12" ht="24.95" customHeight="1" x14ac:dyDescent="0.25">
      <c r="A24" s="1">
        <v>162</v>
      </c>
      <c r="B24" s="1" t="s">
        <v>73</v>
      </c>
      <c r="C24" s="1" t="s">
        <v>236</v>
      </c>
      <c r="D24" s="1" t="s">
        <v>14</v>
      </c>
      <c r="E24" s="1">
        <v>1</v>
      </c>
      <c r="F24" s="24" t="s">
        <v>75</v>
      </c>
      <c r="G24" s="36" t="s">
        <v>74</v>
      </c>
      <c r="H24" s="1" t="s">
        <v>314</v>
      </c>
      <c r="I24" s="1"/>
      <c r="K24" s="54" t="s">
        <v>262</v>
      </c>
      <c r="L24" s="1"/>
    </row>
    <row r="25" spans="1:12" ht="24.95" customHeight="1" thickBot="1" x14ac:dyDescent="0.3">
      <c r="A25" s="6">
        <v>164</v>
      </c>
      <c r="B25" s="6"/>
      <c r="C25" s="6" t="s">
        <v>236</v>
      </c>
      <c r="D25" s="6" t="s">
        <v>79</v>
      </c>
      <c r="E25" s="6">
        <v>1</v>
      </c>
      <c r="F25" s="24" t="s">
        <v>80</v>
      </c>
      <c r="G25" s="42" t="s">
        <v>20</v>
      </c>
      <c r="H25" s="6" t="s">
        <v>314</v>
      </c>
      <c r="I25" s="6"/>
      <c r="J25" s="6"/>
      <c r="K25" s="55" t="s">
        <v>262</v>
      </c>
      <c r="L25" s="1"/>
    </row>
    <row r="26" spans="1:12" ht="24.95" customHeight="1" thickTop="1" x14ac:dyDescent="0.25">
      <c r="A26" s="1">
        <v>163</v>
      </c>
      <c r="B26" s="1" t="s">
        <v>76</v>
      </c>
      <c r="C26" s="1" t="s">
        <v>236</v>
      </c>
      <c r="D26" s="1" t="s">
        <v>77</v>
      </c>
      <c r="E26" s="1"/>
      <c r="F26" s="24" t="s">
        <v>78</v>
      </c>
      <c r="H26" s="1" t="s">
        <v>314</v>
      </c>
      <c r="I26" s="44" t="s">
        <v>261</v>
      </c>
      <c r="K26" s="51" t="s">
        <v>263</v>
      </c>
      <c r="L26" s="1"/>
    </row>
    <row r="27" spans="1:12" ht="24.95" customHeight="1" x14ac:dyDescent="0.25">
      <c r="A27" s="1">
        <v>165</v>
      </c>
      <c r="B27" s="1" t="s">
        <v>81</v>
      </c>
      <c r="C27" s="1" t="s">
        <v>236</v>
      </c>
      <c r="D27" s="1" t="s">
        <v>14</v>
      </c>
      <c r="E27" s="1">
        <v>4</v>
      </c>
      <c r="F27" s="24" t="s">
        <v>83</v>
      </c>
      <c r="G27" s="43" t="s">
        <v>82</v>
      </c>
      <c r="H27" s="1" t="s">
        <v>314</v>
      </c>
      <c r="I27" s="1"/>
      <c r="K27" s="51" t="s">
        <v>263</v>
      </c>
      <c r="L27" s="1"/>
    </row>
    <row r="28" spans="1:12" ht="24.95" customHeight="1" x14ac:dyDescent="0.25">
      <c r="A28" s="1">
        <v>166</v>
      </c>
      <c r="B28" s="1" t="s">
        <v>235</v>
      </c>
      <c r="C28" s="1" t="s">
        <v>236</v>
      </c>
      <c r="D28" s="1" t="s">
        <v>14</v>
      </c>
      <c r="E28" s="1">
        <v>4</v>
      </c>
      <c r="F28" s="24" t="s">
        <v>83</v>
      </c>
      <c r="G28" s="43" t="s">
        <v>237</v>
      </c>
      <c r="H28" s="1" t="s">
        <v>314</v>
      </c>
      <c r="I28" s="1" t="s">
        <v>248</v>
      </c>
      <c r="K28" s="51" t="s">
        <v>263</v>
      </c>
      <c r="L28" s="1"/>
    </row>
    <row r="29" spans="1:12" ht="24.95" customHeight="1" x14ac:dyDescent="0.25">
      <c r="A29" s="1">
        <v>167</v>
      </c>
      <c r="B29" s="1" t="s">
        <v>238</v>
      </c>
      <c r="C29" s="1" t="s">
        <v>236</v>
      </c>
      <c r="D29" s="1" t="s">
        <v>14</v>
      </c>
      <c r="E29" s="1">
        <v>8</v>
      </c>
      <c r="F29" s="24" t="s">
        <v>241</v>
      </c>
      <c r="G29" s="1" t="s">
        <v>240</v>
      </c>
      <c r="H29" s="1" t="s">
        <v>314</v>
      </c>
      <c r="I29" s="1"/>
      <c r="K29" s="51" t="s">
        <v>263</v>
      </c>
      <c r="L29" s="1"/>
    </row>
    <row r="30" spans="1:12" ht="24.95" customHeight="1" x14ac:dyDescent="0.25">
      <c r="A30" s="1">
        <v>168</v>
      </c>
      <c r="B30" s="35" t="s">
        <v>242</v>
      </c>
      <c r="C30" s="1" t="s">
        <v>236</v>
      </c>
      <c r="D30" s="1" t="s">
        <v>14</v>
      </c>
      <c r="E30" s="1">
        <v>6</v>
      </c>
      <c r="F30" s="24" t="s">
        <v>241</v>
      </c>
      <c r="G30" s="1" t="s">
        <v>243</v>
      </c>
      <c r="H30" s="1" t="s">
        <v>314</v>
      </c>
      <c r="I30" s="1"/>
      <c r="K30" s="51" t="s">
        <v>263</v>
      </c>
      <c r="L30" s="1"/>
    </row>
    <row r="31" spans="1:12" ht="24.95" customHeight="1" x14ac:dyDescent="0.25">
      <c r="A31" s="1">
        <v>169</v>
      </c>
      <c r="B31" s="1" t="s">
        <v>244</v>
      </c>
      <c r="C31" s="1" t="s">
        <v>236</v>
      </c>
      <c r="D31" s="1" t="s">
        <v>14</v>
      </c>
      <c r="E31" s="1">
        <v>2</v>
      </c>
      <c r="F31" s="24" t="s">
        <v>246</v>
      </c>
      <c r="G31" s="36" t="s">
        <v>245</v>
      </c>
      <c r="H31" s="1" t="s">
        <v>314</v>
      </c>
      <c r="I31" s="1" t="s">
        <v>249</v>
      </c>
      <c r="K31" s="51" t="s">
        <v>263</v>
      </c>
      <c r="L31" s="1"/>
    </row>
    <row r="32" spans="1:12" ht="24.95" customHeight="1" x14ac:dyDescent="0.25">
      <c r="A32" s="1">
        <v>170</v>
      </c>
      <c r="B32" s="1" t="s">
        <v>250</v>
      </c>
      <c r="C32" s="1" t="s">
        <v>236</v>
      </c>
      <c r="D32" s="1" t="s">
        <v>14</v>
      </c>
      <c r="E32" s="1">
        <v>6</v>
      </c>
      <c r="F32" s="24" t="s">
        <v>246</v>
      </c>
      <c r="G32" s="36" t="s">
        <v>247</v>
      </c>
      <c r="H32" s="1" t="s">
        <v>314</v>
      </c>
      <c r="I32" s="1" t="s">
        <v>202</v>
      </c>
      <c r="K32" s="51" t="s">
        <v>263</v>
      </c>
      <c r="L32" s="1"/>
    </row>
    <row r="33" spans="1:15" ht="24.95" customHeight="1" x14ac:dyDescent="0.25">
      <c r="A33" s="1">
        <v>171</v>
      </c>
      <c r="B33" s="1" t="s">
        <v>251</v>
      </c>
      <c r="C33" s="1" t="s">
        <v>236</v>
      </c>
      <c r="D33" s="1" t="s">
        <v>14</v>
      </c>
      <c r="E33" s="1">
        <v>1</v>
      </c>
      <c r="F33" s="24" t="s">
        <v>254</v>
      </c>
      <c r="G33" s="36" t="s">
        <v>252</v>
      </c>
      <c r="H33" s="1" t="s">
        <v>314</v>
      </c>
      <c r="I33" s="1" t="s">
        <v>253</v>
      </c>
      <c r="K33" s="51" t="s">
        <v>263</v>
      </c>
      <c r="L33" s="1"/>
    </row>
    <row r="34" spans="1:15" ht="24.95" customHeight="1" x14ac:dyDescent="0.25">
      <c r="A34" s="17">
        <v>172</v>
      </c>
      <c r="B34" s="17" t="s">
        <v>255</v>
      </c>
      <c r="C34" s="17" t="s">
        <v>236</v>
      </c>
      <c r="D34" s="17" t="s">
        <v>14</v>
      </c>
      <c r="E34" s="17">
        <v>6</v>
      </c>
      <c r="F34" s="24" t="s">
        <v>254</v>
      </c>
      <c r="G34" s="46" t="s">
        <v>258</v>
      </c>
      <c r="H34" s="17" t="s">
        <v>314</v>
      </c>
      <c r="I34" s="17" t="s">
        <v>265</v>
      </c>
      <c r="J34" s="17"/>
      <c r="K34" s="51" t="s">
        <v>263</v>
      </c>
      <c r="L34" s="1"/>
    </row>
    <row r="35" spans="1:15" ht="24.95" customHeight="1" x14ac:dyDescent="0.25">
      <c r="A35" s="1">
        <v>173</v>
      </c>
      <c r="B35" s="1" t="s">
        <v>256</v>
      </c>
      <c r="C35" s="1" t="s">
        <v>236</v>
      </c>
      <c r="D35" s="1" t="s">
        <v>14</v>
      </c>
      <c r="E35" s="1">
        <v>3</v>
      </c>
      <c r="F35" s="24" t="s">
        <v>254</v>
      </c>
      <c r="G35" s="37" t="s">
        <v>257</v>
      </c>
      <c r="H35" s="1" t="s">
        <v>314</v>
      </c>
      <c r="I35" s="1"/>
      <c r="K35" s="51" t="s">
        <v>263</v>
      </c>
      <c r="L35" s="1"/>
    </row>
    <row r="36" spans="1:15" ht="27" customHeight="1" thickBot="1" x14ac:dyDescent="0.3">
      <c r="A36" s="6">
        <v>174</v>
      </c>
      <c r="B36" s="6" t="s">
        <v>259</v>
      </c>
      <c r="C36" s="6" t="s">
        <v>236</v>
      </c>
      <c r="D36" s="6" t="s">
        <v>14</v>
      </c>
      <c r="E36" s="6">
        <v>12</v>
      </c>
      <c r="F36" s="24"/>
      <c r="G36" s="45" t="s">
        <v>30</v>
      </c>
      <c r="H36" s="1" t="s">
        <v>26</v>
      </c>
      <c r="I36" s="6"/>
      <c r="J36" s="6"/>
      <c r="K36" s="56" t="s">
        <v>263</v>
      </c>
      <c r="L36" s="1"/>
    </row>
    <row r="37" spans="1:15" ht="27" customHeight="1" thickTop="1" x14ac:dyDescent="0.25">
      <c r="A37" s="17">
        <v>172</v>
      </c>
      <c r="B37" s="17" t="s">
        <v>255</v>
      </c>
      <c r="C37" s="17" t="s">
        <v>236</v>
      </c>
      <c r="D37" s="17" t="s">
        <v>14</v>
      </c>
      <c r="E37" s="17">
        <v>6</v>
      </c>
      <c r="F37" s="24" t="s">
        <v>254</v>
      </c>
      <c r="G37" s="46" t="s">
        <v>258</v>
      </c>
      <c r="H37" s="17" t="s">
        <v>314</v>
      </c>
      <c r="I37" s="17" t="s">
        <v>265</v>
      </c>
      <c r="J37" s="17"/>
      <c r="K37" s="47" t="s">
        <v>274</v>
      </c>
      <c r="L37" s="1"/>
    </row>
    <row r="38" spans="1:15" ht="21" x14ac:dyDescent="0.25">
      <c r="A38" s="1">
        <v>175</v>
      </c>
      <c r="B38" s="1" t="s">
        <v>264</v>
      </c>
      <c r="C38" s="1" t="s">
        <v>236</v>
      </c>
      <c r="D38" s="1" t="s">
        <v>14</v>
      </c>
      <c r="E38" s="1">
        <v>1</v>
      </c>
      <c r="F38" s="24" t="s">
        <v>267</v>
      </c>
      <c r="G38" s="36" t="s">
        <v>266</v>
      </c>
      <c r="H38" s="1" t="s">
        <v>314</v>
      </c>
      <c r="I38" s="1"/>
      <c r="K38" s="47" t="s">
        <v>274</v>
      </c>
      <c r="L38" s="1"/>
    </row>
    <row r="39" spans="1:15" ht="21" x14ac:dyDescent="0.25">
      <c r="A39" s="1">
        <v>176</v>
      </c>
      <c r="B39" s="1" t="s">
        <v>268</v>
      </c>
      <c r="C39" s="1" t="s">
        <v>236</v>
      </c>
      <c r="D39" s="1" t="s">
        <v>14</v>
      </c>
      <c r="E39" s="1">
        <v>1</v>
      </c>
      <c r="F39" s="24" t="s">
        <v>270</v>
      </c>
      <c r="G39" s="36" t="s">
        <v>269</v>
      </c>
      <c r="H39" s="1" t="s">
        <v>26</v>
      </c>
      <c r="I39" s="1"/>
      <c r="K39" s="47" t="s">
        <v>274</v>
      </c>
      <c r="L39" s="1"/>
    </row>
    <row r="40" spans="1:15" ht="21" x14ac:dyDescent="0.25">
      <c r="A40" s="1">
        <v>177</v>
      </c>
      <c r="B40" s="1" t="s">
        <v>271</v>
      </c>
      <c r="C40" s="1" t="s">
        <v>236</v>
      </c>
      <c r="D40" s="1" t="s">
        <v>14</v>
      </c>
      <c r="E40" s="1">
        <v>1</v>
      </c>
      <c r="F40" s="24" t="s">
        <v>270</v>
      </c>
      <c r="G40" s="36" t="s">
        <v>272</v>
      </c>
      <c r="H40" s="1" t="s">
        <v>26</v>
      </c>
      <c r="I40" s="1"/>
      <c r="K40" s="47" t="s">
        <v>274</v>
      </c>
      <c r="L40" s="1"/>
    </row>
    <row r="41" spans="1:15" ht="21" x14ac:dyDescent="0.25">
      <c r="A41" s="1">
        <v>178</v>
      </c>
      <c r="B41" s="1" t="s">
        <v>273</v>
      </c>
      <c r="C41" s="1" t="s">
        <v>236</v>
      </c>
      <c r="D41" s="1" t="s">
        <v>14</v>
      </c>
      <c r="E41" s="1">
        <v>1</v>
      </c>
      <c r="F41" s="24" t="s">
        <v>270</v>
      </c>
      <c r="G41" s="36" t="s">
        <v>252</v>
      </c>
      <c r="H41" s="1" t="s">
        <v>314</v>
      </c>
      <c r="I41" s="1"/>
      <c r="K41" s="47" t="s">
        <v>274</v>
      </c>
      <c r="L41" s="1"/>
    </row>
    <row r="42" spans="1:15" ht="21" x14ac:dyDescent="0.25">
      <c r="A42" s="1">
        <v>179</v>
      </c>
      <c r="B42" s="1" t="s">
        <v>275</v>
      </c>
      <c r="C42" s="1" t="s">
        <v>236</v>
      </c>
      <c r="D42" s="1" t="s">
        <v>14</v>
      </c>
      <c r="E42" s="1">
        <v>1</v>
      </c>
      <c r="F42" s="24" t="s">
        <v>270</v>
      </c>
      <c r="G42" s="36" t="s">
        <v>276</v>
      </c>
      <c r="H42" s="1" t="s">
        <v>314</v>
      </c>
      <c r="I42" s="1"/>
      <c r="K42" s="47" t="s">
        <v>274</v>
      </c>
      <c r="L42" s="1"/>
    </row>
    <row r="43" spans="1:15" ht="21" x14ac:dyDescent="0.25">
      <c r="A43" s="1">
        <v>180</v>
      </c>
      <c r="B43" s="1" t="s">
        <v>277</v>
      </c>
      <c r="C43" s="1" t="s">
        <v>236</v>
      </c>
      <c r="D43" s="1" t="s">
        <v>14</v>
      </c>
      <c r="E43" s="1">
        <v>1</v>
      </c>
      <c r="F43" s="24" t="s">
        <v>279</v>
      </c>
      <c r="G43" s="36" t="s">
        <v>278</v>
      </c>
      <c r="H43" s="1" t="s">
        <v>283</v>
      </c>
      <c r="I43" s="1"/>
      <c r="K43" s="47" t="s">
        <v>274</v>
      </c>
      <c r="L43" s="1"/>
    </row>
    <row r="44" spans="1:15" ht="18.75" x14ac:dyDescent="0.25">
      <c r="A44" s="1">
        <v>181</v>
      </c>
      <c r="B44" s="1" t="s">
        <v>280</v>
      </c>
      <c r="C44" s="1" t="s">
        <v>236</v>
      </c>
      <c r="D44" s="1" t="s">
        <v>14</v>
      </c>
      <c r="E44" s="1">
        <v>1</v>
      </c>
      <c r="F44" s="24" t="s">
        <v>281</v>
      </c>
      <c r="G44" s="1" t="s">
        <v>215</v>
      </c>
      <c r="H44" s="1" t="s">
        <v>26</v>
      </c>
      <c r="I44" s="1"/>
      <c r="K44" s="47" t="s">
        <v>274</v>
      </c>
      <c r="L44" s="1"/>
    </row>
    <row r="45" spans="1:15" ht="21" x14ac:dyDescent="0.25">
      <c r="A45" s="1">
        <v>182</v>
      </c>
      <c r="B45" s="1" t="s">
        <v>282</v>
      </c>
      <c r="C45" s="1" t="s">
        <v>236</v>
      </c>
      <c r="D45" s="1" t="s">
        <v>14</v>
      </c>
      <c r="E45" s="1">
        <v>1</v>
      </c>
      <c r="F45" s="24" t="s">
        <v>287</v>
      </c>
      <c r="G45" s="36" t="s">
        <v>285</v>
      </c>
      <c r="H45" s="1" t="s">
        <v>283</v>
      </c>
      <c r="I45" s="1"/>
      <c r="K45" s="47" t="s">
        <v>274</v>
      </c>
      <c r="L45" s="1"/>
    </row>
    <row r="46" spans="1:15" ht="21" x14ac:dyDescent="0.25">
      <c r="A46" s="1">
        <v>183</v>
      </c>
      <c r="B46" s="1" t="s">
        <v>284</v>
      </c>
      <c r="C46" s="1" t="s">
        <v>236</v>
      </c>
      <c r="D46" s="1" t="s">
        <v>14</v>
      </c>
      <c r="E46" s="1">
        <v>1</v>
      </c>
      <c r="F46" s="24" t="s">
        <v>287</v>
      </c>
      <c r="G46" s="36" t="s">
        <v>286</v>
      </c>
      <c r="H46" s="1" t="s">
        <v>283</v>
      </c>
      <c r="I46" s="1"/>
      <c r="K46" s="47" t="s">
        <v>274</v>
      </c>
      <c r="L46" s="1"/>
      <c r="O46">
        <f>SUM(E37:E60)</f>
        <v>64</v>
      </c>
    </row>
    <row r="47" spans="1:15" ht="21" x14ac:dyDescent="0.25">
      <c r="A47" s="1">
        <v>184</v>
      </c>
      <c r="B47" s="1" t="s">
        <v>288</v>
      </c>
      <c r="C47" s="1" t="s">
        <v>236</v>
      </c>
      <c r="D47" s="1" t="s">
        <v>79</v>
      </c>
      <c r="E47" s="1">
        <v>2</v>
      </c>
      <c r="F47" s="24" t="s">
        <v>292</v>
      </c>
      <c r="G47" s="25" t="s">
        <v>291</v>
      </c>
      <c r="H47" s="1" t="s">
        <v>290</v>
      </c>
      <c r="I47" s="1"/>
      <c r="K47" s="47" t="s">
        <v>274</v>
      </c>
      <c r="L47" s="1"/>
    </row>
    <row r="48" spans="1:15" ht="21" x14ac:dyDescent="0.25">
      <c r="A48" s="17">
        <v>185</v>
      </c>
      <c r="B48" s="17" t="s">
        <v>293</v>
      </c>
      <c r="C48" s="17" t="s">
        <v>236</v>
      </c>
      <c r="D48" s="17" t="s">
        <v>14</v>
      </c>
      <c r="E48" s="17">
        <v>3</v>
      </c>
      <c r="F48" s="24" t="s">
        <v>292</v>
      </c>
      <c r="G48" s="62" t="s">
        <v>295</v>
      </c>
      <c r="H48" s="17" t="s">
        <v>26</v>
      </c>
      <c r="I48" s="17" t="s">
        <v>296</v>
      </c>
      <c r="J48" s="17"/>
      <c r="K48" s="47" t="s">
        <v>274</v>
      </c>
      <c r="L48" s="1"/>
    </row>
    <row r="49" spans="1:12" ht="18.75" x14ac:dyDescent="0.25">
      <c r="A49" s="1">
        <v>186</v>
      </c>
      <c r="B49" s="1" t="s">
        <v>297</v>
      </c>
      <c r="C49" s="1" t="s">
        <v>236</v>
      </c>
      <c r="D49" s="1" t="s">
        <v>14</v>
      </c>
      <c r="E49" s="1">
        <v>1</v>
      </c>
      <c r="F49" s="24" t="s">
        <v>299</v>
      </c>
      <c r="G49" s="1" t="s">
        <v>48</v>
      </c>
      <c r="H49" s="1" t="s">
        <v>298</v>
      </c>
      <c r="I49" s="1"/>
      <c r="K49" s="47" t="s">
        <v>274</v>
      </c>
      <c r="L49" s="1"/>
    </row>
    <row r="50" spans="1:12" ht="21" x14ac:dyDescent="0.25">
      <c r="A50" s="1">
        <v>187</v>
      </c>
      <c r="B50" s="1" t="s">
        <v>300</v>
      </c>
      <c r="C50" s="1" t="s">
        <v>236</v>
      </c>
      <c r="D50" s="1" t="s">
        <v>14</v>
      </c>
      <c r="E50" s="1">
        <v>1</v>
      </c>
      <c r="F50" s="24" t="s">
        <v>302</v>
      </c>
      <c r="G50" s="36" t="s">
        <v>301</v>
      </c>
      <c r="H50" s="1" t="s">
        <v>314</v>
      </c>
      <c r="I50" s="1"/>
      <c r="K50" s="47" t="s">
        <v>274</v>
      </c>
      <c r="L50" s="1"/>
    </row>
    <row r="51" spans="1:12" ht="15.75" x14ac:dyDescent="0.25">
      <c r="A51" s="1">
        <v>188</v>
      </c>
      <c r="B51" s="1" t="s">
        <v>90</v>
      </c>
      <c r="C51" s="1" t="s">
        <v>236</v>
      </c>
      <c r="D51" s="1" t="s">
        <v>303</v>
      </c>
      <c r="E51" s="1">
        <v>12</v>
      </c>
      <c r="F51" s="24" t="s">
        <v>304</v>
      </c>
      <c r="G51" s="37" t="s">
        <v>30</v>
      </c>
      <c r="H51" s="1" t="s">
        <v>26</v>
      </c>
      <c r="I51" s="1" t="s">
        <v>305</v>
      </c>
      <c r="K51" s="47" t="s">
        <v>274</v>
      </c>
      <c r="L51" s="1"/>
    </row>
    <row r="52" spans="1:12" ht="21" x14ac:dyDescent="0.25">
      <c r="A52" s="1">
        <v>189</v>
      </c>
      <c r="B52" s="1" t="s">
        <v>300</v>
      </c>
      <c r="C52" s="1" t="s">
        <v>236</v>
      </c>
      <c r="D52" s="1" t="s">
        <v>14</v>
      </c>
      <c r="E52" s="1">
        <v>1</v>
      </c>
      <c r="F52" s="24" t="s">
        <v>306</v>
      </c>
      <c r="G52" s="25" t="s">
        <v>37</v>
      </c>
      <c r="H52" s="1" t="s">
        <v>314</v>
      </c>
      <c r="I52" s="1"/>
      <c r="K52" s="47" t="s">
        <v>274</v>
      </c>
      <c r="L52" s="1"/>
    </row>
    <row r="53" spans="1:12" ht="21" x14ac:dyDescent="0.25">
      <c r="A53" s="1">
        <v>190</v>
      </c>
      <c r="B53" s="1" t="s">
        <v>307</v>
      </c>
      <c r="C53" s="1" t="s">
        <v>236</v>
      </c>
      <c r="D53" s="1" t="s">
        <v>14</v>
      </c>
      <c r="E53" s="1">
        <v>2</v>
      </c>
      <c r="F53" s="24" t="s">
        <v>306</v>
      </c>
      <c r="G53" s="36"/>
      <c r="H53" s="1" t="s">
        <v>308</v>
      </c>
      <c r="I53" s="1" t="s">
        <v>309</v>
      </c>
      <c r="K53" s="47" t="s">
        <v>274</v>
      </c>
      <c r="L53" s="1"/>
    </row>
    <row r="54" spans="1:12" ht="15.75" x14ac:dyDescent="0.25">
      <c r="A54" s="17">
        <v>191</v>
      </c>
      <c r="B54" s="17" t="s">
        <v>90</v>
      </c>
      <c r="C54" s="17" t="s">
        <v>236</v>
      </c>
      <c r="D54" s="17" t="s">
        <v>14</v>
      </c>
      <c r="E54" s="17">
        <v>12</v>
      </c>
      <c r="F54" s="24" t="s">
        <v>306</v>
      </c>
      <c r="G54" s="46" t="s">
        <v>30</v>
      </c>
      <c r="H54" s="17" t="s">
        <v>26</v>
      </c>
      <c r="I54" s="17" t="s">
        <v>358</v>
      </c>
      <c r="J54" s="17"/>
      <c r="K54" s="61" t="s">
        <v>274</v>
      </c>
      <c r="L54" s="1"/>
    </row>
    <row r="55" spans="1:12" ht="18.75" x14ac:dyDescent="0.25">
      <c r="A55" s="1">
        <v>192</v>
      </c>
      <c r="B55" s="1" t="s">
        <v>313</v>
      </c>
      <c r="C55" s="1" t="s">
        <v>236</v>
      </c>
      <c r="D55" s="1" t="s">
        <v>315</v>
      </c>
      <c r="E55" s="1">
        <v>2</v>
      </c>
      <c r="F55" s="24" t="s">
        <v>310</v>
      </c>
      <c r="G55" s="43" t="s">
        <v>316</v>
      </c>
      <c r="H55" s="1" t="s">
        <v>314</v>
      </c>
      <c r="I55" s="1"/>
      <c r="K55" s="47" t="s">
        <v>274</v>
      </c>
      <c r="L55" s="1"/>
    </row>
    <row r="56" spans="1:12" ht="15.75" x14ac:dyDescent="0.25">
      <c r="A56" s="1">
        <v>193</v>
      </c>
      <c r="B56" s="1" t="s">
        <v>317</v>
      </c>
      <c r="C56" s="1" t="s">
        <v>236</v>
      </c>
      <c r="D56" s="57" t="s">
        <v>318</v>
      </c>
      <c r="E56" s="1">
        <v>6</v>
      </c>
      <c r="F56" s="24" t="s">
        <v>311</v>
      </c>
      <c r="G56" s="37" t="s">
        <v>319</v>
      </c>
      <c r="H56" s="1" t="s">
        <v>283</v>
      </c>
      <c r="I56" s="1"/>
      <c r="K56" s="47" t="s">
        <v>274</v>
      </c>
      <c r="L56" s="1"/>
    </row>
    <row r="57" spans="1:12" ht="21" x14ac:dyDescent="0.25">
      <c r="A57" s="1">
        <v>193</v>
      </c>
      <c r="B57" s="1" t="s">
        <v>317</v>
      </c>
      <c r="C57" s="1" t="s">
        <v>236</v>
      </c>
      <c r="D57" s="1" t="s">
        <v>14</v>
      </c>
      <c r="E57" s="1">
        <v>1</v>
      </c>
      <c r="F57" s="24" t="s">
        <v>311</v>
      </c>
      <c r="G57" s="36" t="s">
        <v>278</v>
      </c>
      <c r="H57" s="1" t="s">
        <v>283</v>
      </c>
      <c r="I57" s="1"/>
      <c r="K57" s="47" t="s">
        <v>274</v>
      </c>
      <c r="L57" s="1"/>
    </row>
    <row r="58" spans="1:12" ht="21" x14ac:dyDescent="0.25">
      <c r="A58" s="1">
        <v>194</v>
      </c>
      <c r="B58" s="1" t="s">
        <v>280</v>
      </c>
      <c r="C58" s="1" t="s">
        <v>236</v>
      </c>
      <c r="D58" s="1" t="s">
        <v>14</v>
      </c>
      <c r="E58" s="1">
        <v>1</v>
      </c>
      <c r="F58" s="24" t="s">
        <v>311</v>
      </c>
      <c r="G58" s="36" t="s">
        <v>252</v>
      </c>
      <c r="H58" s="1" t="s">
        <v>26</v>
      </c>
      <c r="I58" s="1"/>
      <c r="K58" s="47" t="s">
        <v>274</v>
      </c>
      <c r="L58" s="1"/>
    </row>
    <row r="59" spans="1:12" ht="21" x14ac:dyDescent="0.25">
      <c r="A59" s="1">
        <v>195</v>
      </c>
      <c r="B59" s="1" t="s">
        <v>320</v>
      </c>
      <c r="C59" s="1" t="s">
        <v>236</v>
      </c>
      <c r="D59" s="1" t="s">
        <v>79</v>
      </c>
      <c r="E59" s="1">
        <v>3</v>
      </c>
      <c r="F59" s="24" t="s">
        <v>311</v>
      </c>
      <c r="G59" s="36" t="s">
        <v>321</v>
      </c>
      <c r="H59" s="1" t="s">
        <v>290</v>
      </c>
      <c r="I59" s="1"/>
      <c r="K59" s="47" t="s">
        <v>274</v>
      </c>
      <c r="L59" s="1"/>
    </row>
    <row r="60" spans="1:12" ht="21.75" thickBot="1" x14ac:dyDescent="0.3">
      <c r="A60" s="6">
        <v>196</v>
      </c>
      <c r="B60" s="6" t="s">
        <v>322</v>
      </c>
      <c r="C60" s="6" t="s">
        <v>236</v>
      </c>
      <c r="D60" s="6" t="s">
        <v>14</v>
      </c>
      <c r="E60" s="6">
        <v>2</v>
      </c>
      <c r="F60" s="24" t="s">
        <v>312</v>
      </c>
      <c r="G60" s="42" t="s">
        <v>323</v>
      </c>
      <c r="H60" s="6" t="s">
        <v>314</v>
      </c>
      <c r="I60" s="58" t="s">
        <v>324</v>
      </c>
      <c r="J60" s="6"/>
      <c r="K60" s="59" t="s">
        <v>274</v>
      </c>
      <c r="L60" s="1"/>
    </row>
    <row r="61" spans="1:12" ht="16.5" thickTop="1" x14ac:dyDescent="0.25">
      <c r="A61" s="17">
        <v>197</v>
      </c>
      <c r="B61" s="17" t="s">
        <v>325</v>
      </c>
      <c r="C61" s="17" t="s">
        <v>236</v>
      </c>
      <c r="D61" s="17" t="s">
        <v>375</v>
      </c>
      <c r="E61" s="17">
        <v>6</v>
      </c>
      <c r="F61" s="24"/>
      <c r="G61" s="37" t="s">
        <v>258</v>
      </c>
      <c r="H61" s="17" t="s">
        <v>26</v>
      </c>
      <c r="I61" s="17"/>
      <c r="J61" s="17"/>
      <c r="K61" s="48" t="s">
        <v>329</v>
      </c>
      <c r="L61" s="1"/>
    </row>
    <row r="62" spans="1:12" ht="15.75" x14ac:dyDescent="0.25">
      <c r="A62" s="1">
        <v>198</v>
      </c>
      <c r="B62" s="1" t="s">
        <v>326</v>
      </c>
      <c r="C62" s="1" t="s">
        <v>338</v>
      </c>
      <c r="D62" s="1" t="s">
        <v>14</v>
      </c>
      <c r="E62" s="1">
        <v>10</v>
      </c>
      <c r="F62" s="24" t="s">
        <v>328</v>
      </c>
      <c r="G62" s="37" t="s">
        <v>327</v>
      </c>
      <c r="H62" s="1" t="s">
        <v>290</v>
      </c>
      <c r="I62" s="1"/>
      <c r="K62" s="48" t="s">
        <v>329</v>
      </c>
      <c r="L62" s="1"/>
    </row>
    <row r="63" spans="1:12" ht="15.75" x14ac:dyDescent="0.25">
      <c r="A63" s="1">
        <v>199</v>
      </c>
      <c r="B63" s="1" t="s">
        <v>330</v>
      </c>
      <c r="C63" s="1" t="s">
        <v>236</v>
      </c>
      <c r="D63" s="1" t="s">
        <v>303</v>
      </c>
      <c r="E63" s="1">
        <v>4</v>
      </c>
      <c r="F63" s="24" t="s">
        <v>332</v>
      </c>
      <c r="G63" s="37" t="s">
        <v>331</v>
      </c>
      <c r="H63" s="1" t="s">
        <v>26</v>
      </c>
      <c r="I63" s="1"/>
      <c r="K63" s="48" t="s">
        <v>329</v>
      </c>
      <c r="L63" s="1"/>
    </row>
    <row r="64" spans="1:12" ht="15.75" x14ac:dyDescent="0.25">
      <c r="A64" s="1">
        <v>200</v>
      </c>
      <c r="B64" s="1" t="s">
        <v>333</v>
      </c>
      <c r="C64" s="1" t="s">
        <v>337</v>
      </c>
      <c r="D64" s="1" t="s">
        <v>303</v>
      </c>
      <c r="E64" s="1">
        <v>3</v>
      </c>
      <c r="F64" s="24" t="s">
        <v>336</v>
      </c>
      <c r="G64" s="37" t="s">
        <v>335</v>
      </c>
      <c r="H64" s="1" t="s">
        <v>334</v>
      </c>
      <c r="I64" s="1"/>
      <c r="K64" s="48" t="s">
        <v>329</v>
      </c>
      <c r="L64" s="1"/>
    </row>
    <row r="65" spans="1:12" ht="18.75" x14ac:dyDescent="0.25">
      <c r="A65" s="1">
        <v>201</v>
      </c>
      <c r="B65" s="1" t="s">
        <v>333</v>
      </c>
      <c r="C65" s="1" t="s">
        <v>337</v>
      </c>
      <c r="D65" s="1" t="s">
        <v>14</v>
      </c>
      <c r="E65" s="1">
        <v>4</v>
      </c>
      <c r="F65" s="24" t="s">
        <v>336</v>
      </c>
      <c r="G65" s="60" t="s">
        <v>339</v>
      </c>
      <c r="H65" s="1" t="s">
        <v>334</v>
      </c>
      <c r="I65" s="1"/>
      <c r="K65" s="48" t="s">
        <v>329</v>
      </c>
      <c r="L65" s="1"/>
    </row>
    <row r="66" spans="1:12" x14ac:dyDescent="0.25">
      <c r="A66" s="17">
        <v>202</v>
      </c>
      <c r="B66" s="17" t="s">
        <v>325</v>
      </c>
      <c r="C66" s="17" t="s">
        <v>236</v>
      </c>
      <c r="D66" s="17" t="s">
        <v>375</v>
      </c>
      <c r="E66" s="17"/>
      <c r="F66" s="24"/>
      <c r="G66" s="17"/>
      <c r="H66" s="17" t="s">
        <v>26</v>
      </c>
      <c r="I66" s="17"/>
      <c r="J66" s="17"/>
      <c r="K66" s="61" t="s">
        <v>329</v>
      </c>
      <c r="L66" s="1"/>
    </row>
    <row r="67" spans="1:12" ht="21" x14ac:dyDescent="0.25">
      <c r="A67" s="1">
        <v>203</v>
      </c>
      <c r="B67" s="1" t="s">
        <v>340</v>
      </c>
      <c r="C67" s="1" t="s">
        <v>337</v>
      </c>
      <c r="D67" s="1" t="s">
        <v>14</v>
      </c>
      <c r="E67" s="1">
        <v>1</v>
      </c>
      <c r="F67" s="24" t="s">
        <v>336</v>
      </c>
      <c r="G67" s="36" t="s">
        <v>278</v>
      </c>
      <c r="H67" s="1" t="s">
        <v>334</v>
      </c>
      <c r="I67" s="1"/>
      <c r="K67" s="48" t="s">
        <v>329</v>
      </c>
      <c r="L67" s="1"/>
    </row>
    <row r="68" spans="1:12" ht="21" x14ac:dyDescent="0.25">
      <c r="A68" s="1">
        <v>204</v>
      </c>
      <c r="B68" s="1" t="s">
        <v>341</v>
      </c>
      <c r="C68" s="1" t="s">
        <v>236</v>
      </c>
      <c r="D68" s="1" t="s">
        <v>303</v>
      </c>
      <c r="E68" s="1">
        <v>10</v>
      </c>
      <c r="F68" s="24" t="s">
        <v>343</v>
      </c>
      <c r="G68" s="1" t="s">
        <v>342</v>
      </c>
      <c r="H68" s="1" t="s">
        <v>26</v>
      </c>
      <c r="I68" s="1"/>
      <c r="K68" s="48" t="s">
        <v>329</v>
      </c>
      <c r="L68" s="1"/>
    </row>
    <row r="69" spans="1:12" ht="21" x14ac:dyDescent="0.25">
      <c r="A69" s="1">
        <v>205</v>
      </c>
      <c r="B69" s="1" t="s">
        <v>344</v>
      </c>
      <c r="C69" s="1" t="s">
        <v>236</v>
      </c>
      <c r="D69" s="1" t="s">
        <v>14</v>
      </c>
      <c r="E69" s="1">
        <v>2</v>
      </c>
      <c r="F69" s="24" t="s">
        <v>343</v>
      </c>
      <c r="G69" s="1" t="s">
        <v>345</v>
      </c>
      <c r="H69" s="1" t="s">
        <v>26</v>
      </c>
      <c r="I69" s="1"/>
      <c r="K69" s="48" t="s">
        <v>329</v>
      </c>
      <c r="L69" s="1"/>
    </row>
    <row r="70" spans="1:12" ht="21" x14ac:dyDescent="0.25">
      <c r="A70" s="1">
        <v>206</v>
      </c>
      <c r="B70" s="1" t="s">
        <v>346</v>
      </c>
      <c r="C70" s="1" t="s">
        <v>36</v>
      </c>
      <c r="D70" s="1" t="s">
        <v>14</v>
      </c>
      <c r="E70" s="1">
        <v>1</v>
      </c>
      <c r="F70" s="24" t="s">
        <v>343</v>
      </c>
      <c r="G70" s="36" t="s">
        <v>252</v>
      </c>
      <c r="H70" s="1" t="s">
        <v>314</v>
      </c>
      <c r="I70" s="1"/>
      <c r="K70" s="48" t="s">
        <v>329</v>
      </c>
      <c r="L70" s="1"/>
    </row>
    <row r="71" spans="1:12" ht="15.75" x14ac:dyDescent="0.25">
      <c r="A71" s="1">
        <v>207</v>
      </c>
      <c r="B71" s="1" t="s">
        <v>347</v>
      </c>
      <c r="C71" s="1" t="s">
        <v>236</v>
      </c>
      <c r="D71" s="1" t="s">
        <v>14</v>
      </c>
      <c r="E71" s="1">
        <v>6</v>
      </c>
      <c r="F71" s="24" t="s">
        <v>349</v>
      </c>
      <c r="G71" s="37" t="s">
        <v>348</v>
      </c>
      <c r="H71" s="1" t="s">
        <v>26</v>
      </c>
      <c r="I71" s="1"/>
      <c r="K71" s="48" t="s">
        <v>329</v>
      </c>
      <c r="L71" s="1"/>
    </row>
    <row r="72" spans="1:12" ht="21" x14ac:dyDescent="0.25">
      <c r="A72" s="1">
        <v>208</v>
      </c>
      <c r="B72" s="1" t="s">
        <v>350</v>
      </c>
      <c r="C72" s="1" t="s">
        <v>239</v>
      </c>
      <c r="D72" s="1" t="s">
        <v>14</v>
      </c>
      <c r="E72" s="1">
        <v>1</v>
      </c>
      <c r="F72" s="24" t="s">
        <v>349</v>
      </c>
      <c r="G72" s="36" t="s">
        <v>351</v>
      </c>
      <c r="H72" s="1" t="s">
        <v>314</v>
      </c>
      <c r="I72" s="1"/>
      <c r="K72" s="48" t="s">
        <v>329</v>
      </c>
      <c r="L72" s="1"/>
    </row>
    <row r="73" spans="1:12" ht="21" x14ac:dyDescent="0.25">
      <c r="A73" s="1">
        <v>209</v>
      </c>
      <c r="B73" s="1" t="s">
        <v>352</v>
      </c>
      <c r="C73" s="1" t="s">
        <v>337</v>
      </c>
      <c r="D73" s="1" t="s">
        <v>353</v>
      </c>
      <c r="E73" s="1"/>
      <c r="F73" s="24" t="s">
        <v>349</v>
      </c>
      <c r="G73" s="36"/>
      <c r="H73" s="1" t="s">
        <v>334</v>
      </c>
      <c r="I73" s="1"/>
      <c r="K73" s="48" t="s">
        <v>329</v>
      </c>
      <c r="L73" s="1"/>
    </row>
    <row r="74" spans="1:12" ht="15.75" x14ac:dyDescent="0.25">
      <c r="A74" s="1">
        <v>210</v>
      </c>
      <c r="B74" s="1" t="s">
        <v>354</v>
      </c>
      <c r="C74" s="1" t="s">
        <v>337</v>
      </c>
      <c r="D74" s="1" t="s">
        <v>14</v>
      </c>
      <c r="E74" s="1">
        <v>10</v>
      </c>
      <c r="F74" s="24" t="s">
        <v>356</v>
      </c>
      <c r="G74" s="37" t="s">
        <v>355</v>
      </c>
      <c r="H74" s="1" t="s">
        <v>334</v>
      </c>
      <c r="I74" s="1"/>
      <c r="K74" s="48" t="s">
        <v>329</v>
      </c>
      <c r="L74" s="1"/>
    </row>
    <row r="75" spans="1:12" ht="35.25" customHeight="1" x14ac:dyDescent="0.25">
      <c r="A75" s="1">
        <v>211</v>
      </c>
      <c r="B75" s="1" t="s">
        <v>357</v>
      </c>
      <c r="C75" s="1" t="s">
        <v>36</v>
      </c>
      <c r="D75" s="1" t="s">
        <v>14</v>
      </c>
      <c r="E75" s="1">
        <v>2</v>
      </c>
      <c r="F75" s="24" t="s">
        <v>356</v>
      </c>
      <c r="G75" s="67" t="s">
        <v>420</v>
      </c>
      <c r="H75" s="1" t="s">
        <v>314</v>
      </c>
      <c r="I75" s="1"/>
      <c r="K75" s="48" t="s">
        <v>329</v>
      </c>
      <c r="L75" s="1"/>
    </row>
    <row r="76" spans="1:12" ht="15.75" thickBot="1" x14ac:dyDescent="0.3">
      <c r="A76" s="6">
        <v>212</v>
      </c>
      <c r="B76" s="6" t="s">
        <v>90</v>
      </c>
      <c r="C76" s="6" t="s">
        <v>337</v>
      </c>
      <c r="D76" s="6" t="s">
        <v>77</v>
      </c>
      <c r="E76" s="6">
        <v>2</v>
      </c>
      <c r="F76" s="66" t="s">
        <v>359</v>
      </c>
      <c r="G76" s="6"/>
      <c r="H76" s="6" t="s">
        <v>334</v>
      </c>
      <c r="I76" s="6"/>
      <c r="J76" s="6"/>
      <c r="K76" s="63" t="s">
        <v>329</v>
      </c>
      <c r="L76" s="1"/>
    </row>
    <row r="77" spans="1:12" ht="30.75" thickTop="1" x14ac:dyDescent="0.25">
      <c r="A77" s="1">
        <v>213</v>
      </c>
      <c r="B77" s="1" t="s">
        <v>361</v>
      </c>
      <c r="C77" s="1" t="s">
        <v>337</v>
      </c>
      <c r="D77" s="16" t="s">
        <v>425</v>
      </c>
      <c r="E77" s="1">
        <v>1</v>
      </c>
      <c r="F77" s="24" t="s">
        <v>362</v>
      </c>
      <c r="G77" s="1" t="s">
        <v>48</v>
      </c>
      <c r="H77" s="1" t="s">
        <v>334</v>
      </c>
      <c r="I77" s="1"/>
      <c r="K77" s="48" t="s">
        <v>360</v>
      </c>
      <c r="L77" s="1"/>
    </row>
    <row r="78" spans="1:12" ht="30" x14ac:dyDescent="0.25">
      <c r="A78" s="1">
        <v>214</v>
      </c>
      <c r="B78" s="1" t="s">
        <v>363</v>
      </c>
      <c r="C78" s="1" t="s">
        <v>337</v>
      </c>
      <c r="D78" s="16" t="s">
        <v>425</v>
      </c>
      <c r="E78" s="1">
        <v>1</v>
      </c>
      <c r="F78" s="24" t="s">
        <v>362</v>
      </c>
      <c r="G78" s="25" t="s">
        <v>364</v>
      </c>
      <c r="H78" s="1" t="s">
        <v>334</v>
      </c>
      <c r="I78" s="1"/>
      <c r="K78" s="48" t="s">
        <v>360</v>
      </c>
      <c r="L78" s="1"/>
    </row>
    <row r="79" spans="1:12" ht="30" x14ac:dyDescent="0.25">
      <c r="A79" s="1">
        <v>215</v>
      </c>
      <c r="B79" s="1" t="s">
        <v>365</v>
      </c>
      <c r="C79" s="1" t="s">
        <v>337</v>
      </c>
      <c r="D79" s="16" t="s">
        <v>425</v>
      </c>
      <c r="E79" s="1">
        <v>3</v>
      </c>
      <c r="F79" s="24" t="s">
        <v>362</v>
      </c>
      <c r="G79" s="36" t="s">
        <v>366</v>
      </c>
      <c r="H79" s="1" t="s">
        <v>334</v>
      </c>
      <c r="I79" s="1"/>
      <c r="K79" s="48" t="s">
        <v>360</v>
      </c>
      <c r="L79" s="1"/>
    </row>
    <row r="80" spans="1:12" ht="15.75" x14ac:dyDescent="0.25">
      <c r="A80" s="1">
        <v>216</v>
      </c>
      <c r="B80" s="1" t="s">
        <v>367</v>
      </c>
      <c r="C80" s="1" t="s">
        <v>371</v>
      </c>
      <c r="D80" s="1" t="s">
        <v>370</v>
      </c>
      <c r="E80" s="1">
        <v>5</v>
      </c>
      <c r="F80" s="24" t="s">
        <v>368</v>
      </c>
      <c r="G80" s="37" t="s">
        <v>369</v>
      </c>
      <c r="H80" s="1" t="s">
        <v>290</v>
      </c>
      <c r="I80" s="1"/>
      <c r="K80" s="48" t="s">
        <v>360</v>
      </c>
      <c r="L80" s="1"/>
    </row>
    <row r="81" spans="1:13" ht="21" x14ac:dyDescent="0.25">
      <c r="A81" s="1">
        <v>217</v>
      </c>
      <c r="B81" s="1" t="s">
        <v>372</v>
      </c>
      <c r="C81" s="1" t="s">
        <v>36</v>
      </c>
      <c r="D81" s="1" t="s">
        <v>14</v>
      </c>
      <c r="E81" s="1">
        <v>1</v>
      </c>
      <c r="F81" s="24" t="s">
        <v>368</v>
      </c>
      <c r="G81" s="36" t="s">
        <v>373</v>
      </c>
      <c r="H81" s="1" t="s">
        <v>314</v>
      </c>
      <c r="I81" s="1"/>
      <c r="K81" s="48" t="s">
        <v>360</v>
      </c>
      <c r="L81" s="1"/>
    </row>
    <row r="82" spans="1:13" ht="21" x14ac:dyDescent="0.25">
      <c r="A82" s="1">
        <v>218</v>
      </c>
      <c r="B82" s="1" t="s">
        <v>374</v>
      </c>
      <c r="C82" s="1" t="s">
        <v>337</v>
      </c>
      <c r="D82" s="1" t="s">
        <v>14</v>
      </c>
      <c r="E82" s="1">
        <v>1</v>
      </c>
      <c r="F82" s="24" t="s">
        <v>368</v>
      </c>
      <c r="G82" s="36" t="s">
        <v>15</v>
      </c>
      <c r="H82" s="1" t="s">
        <v>334</v>
      </c>
      <c r="I82" s="1" t="s">
        <v>202</v>
      </c>
      <c r="K82" s="48" t="s">
        <v>360</v>
      </c>
      <c r="L82" s="1"/>
    </row>
    <row r="83" spans="1:13" ht="21" x14ac:dyDescent="0.25">
      <c r="A83" s="1">
        <v>219</v>
      </c>
      <c r="B83" s="1" t="s">
        <v>376</v>
      </c>
      <c r="C83" s="1" t="s">
        <v>40</v>
      </c>
      <c r="D83" s="1" t="s">
        <v>14</v>
      </c>
      <c r="E83" s="1">
        <v>1</v>
      </c>
      <c r="F83" s="24" t="s">
        <v>380</v>
      </c>
      <c r="G83" s="36" t="s">
        <v>377</v>
      </c>
      <c r="H83" s="1" t="s">
        <v>26</v>
      </c>
      <c r="I83" s="1" t="s">
        <v>249</v>
      </c>
      <c r="K83" s="48" t="s">
        <v>360</v>
      </c>
      <c r="L83" s="1"/>
    </row>
    <row r="84" spans="1:13" ht="21" x14ac:dyDescent="0.25">
      <c r="A84" s="1">
        <v>220</v>
      </c>
      <c r="B84" s="1" t="s">
        <v>378</v>
      </c>
      <c r="C84" s="1" t="s">
        <v>236</v>
      </c>
      <c r="D84" s="1" t="s">
        <v>14</v>
      </c>
      <c r="E84" s="1">
        <v>1</v>
      </c>
      <c r="F84" s="24" t="s">
        <v>380</v>
      </c>
      <c r="G84" s="36" t="s">
        <v>379</v>
      </c>
      <c r="H84" s="1" t="s">
        <v>26</v>
      </c>
      <c r="I84" s="1" t="s">
        <v>249</v>
      </c>
      <c r="K84" s="48" t="s">
        <v>360</v>
      </c>
      <c r="L84" s="1"/>
    </row>
    <row r="85" spans="1:13" ht="31.5" x14ac:dyDescent="0.25">
      <c r="A85" s="1">
        <v>221</v>
      </c>
      <c r="B85" s="1" t="s">
        <v>341</v>
      </c>
      <c r="C85" s="1" t="s">
        <v>236</v>
      </c>
      <c r="D85" s="1" t="s">
        <v>14</v>
      </c>
      <c r="E85" s="1">
        <v>10</v>
      </c>
      <c r="F85" s="24" t="s">
        <v>381</v>
      </c>
      <c r="G85" s="37" t="s">
        <v>388</v>
      </c>
      <c r="H85" s="1" t="s">
        <v>26</v>
      </c>
      <c r="I85" s="1"/>
      <c r="K85" s="48" t="s">
        <v>360</v>
      </c>
      <c r="L85" s="1"/>
      <c r="M85">
        <f>SUM(E85:L85,E77:E91,E93:E95)</f>
        <v>61</v>
      </c>
    </row>
    <row r="86" spans="1:13" x14ac:dyDescent="0.25">
      <c r="A86" s="1">
        <v>222</v>
      </c>
      <c r="B86" s="1" t="s">
        <v>382</v>
      </c>
      <c r="C86" s="1" t="s">
        <v>337</v>
      </c>
      <c r="D86" s="1" t="s">
        <v>14</v>
      </c>
      <c r="E86" s="1">
        <v>2</v>
      </c>
      <c r="F86" s="24" t="s">
        <v>383</v>
      </c>
      <c r="G86" s="65" t="s">
        <v>384</v>
      </c>
      <c r="H86" s="1" t="s">
        <v>334</v>
      </c>
      <c r="I86" s="1"/>
      <c r="K86" s="48" t="s">
        <v>360</v>
      </c>
      <c r="L86" s="1"/>
    </row>
    <row r="87" spans="1:13" ht="21" x14ac:dyDescent="0.25">
      <c r="A87" s="1">
        <v>223</v>
      </c>
      <c r="B87" s="1" t="s">
        <v>280</v>
      </c>
      <c r="C87" s="1" t="s">
        <v>40</v>
      </c>
      <c r="D87" s="1" t="s">
        <v>14</v>
      </c>
      <c r="E87" s="1">
        <v>3</v>
      </c>
      <c r="F87" s="24" t="s">
        <v>385</v>
      </c>
      <c r="G87" s="36" t="s">
        <v>386</v>
      </c>
      <c r="H87" s="1" t="s">
        <v>26</v>
      </c>
      <c r="I87" s="1"/>
      <c r="K87" s="48" t="s">
        <v>360</v>
      </c>
      <c r="L87" s="1"/>
    </row>
    <row r="88" spans="1:13" ht="15.75" x14ac:dyDescent="0.25">
      <c r="A88" s="1">
        <v>224</v>
      </c>
      <c r="B88" s="1" t="s">
        <v>341</v>
      </c>
      <c r="C88" s="1" t="s">
        <v>236</v>
      </c>
      <c r="D88" s="1" t="s">
        <v>14</v>
      </c>
      <c r="E88" s="1">
        <v>12</v>
      </c>
      <c r="F88" s="24" t="s">
        <v>387</v>
      </c>
      <c r="G88" s="37" t="s">
        <v>389</v>
      </c>
      <c r="H88" s="1" t="s">
        <v>26</v>
      </c>
      <c r="I88" s="1"/>
      <c r="K88" s="48" t="s">
        <v>360</v>
      </c>
      <c r="L88" s="1"/>
    </row>
    <row r="89" spans="1:13" ht="21" x14ac:dyDescent="0.25">
      <c r="A89" s="1">
        <v>225</v>
      </c>
      <c r="B89" s="1" t="s">
        <v>390</v>
      </c>
      <c r="C89" s="1" t="s">
        <v>40</v>
      </c>
      <c r="D89" s="1" t="s">
        <v>14</v>
      </c>
      <c r="E89" s="1">
        <v>1</v>
      </c>
      <c r="F89" s="24" t="s">
        <v>387</v>
      </c>
      <c r="G89" s="36" t="s">
        <v>391</v>
      </c>
      <c r="H89" s="1" t="s">
        <v>26</v>
      </c>
      <c r="I89" s="1"/>
      <c r="K89" s="48" t="s">
        <v>360</v>
      </c>
      <c r="L89" s="1"/>
    </row>
    <row r="90" spans="1:13" ht="30" x14ac:dyDescent="0.25">
      <c r="A90" s="1">
        <v>226</v>
      </c>
      <c r="B90" s="1" t="s">
        <v>392</v>
      </c>
      <c r="C90" s="1" t="s">
        <v>337</v>
      </c>
      <c r="D90" s="16" t="s">
        <v>425</v>
      </c>
      <c r="E90" s="1">
        <v>2</v>
      </c>
      <c r="F90" s="24" t="s">
        <v>393</v>
      </c>
      <c r="G90" s="37" t="s">
        <v>394</v>
      </c>
      <c r="H90" s="1" t="s">
        <v>334</v>
      </c>
      <c r="I90" s="1" t="s">
        <v>395</v>
      </c>
      <c r="K90" s="48" t="s">
        <v>360</v>
      </c>
      <c r="L90" s="1"/>
    </row>
    <row r="91" spans="1:13" ht="21" x14ac:dyDescent="0.25">
      <c r="A91" s="1">
        <v>227</v>
      </c>
      <c r="B91" s="1" t="s">
        <v>396</v>
      </c>
      <c r="C91" s="1" t="s">
        <v>40</v>
      </c>
      <c r="D91" s="1" t="s">
        <v>14</v>
      </c>
      <c r="E91" s="1">
        <v>3</v>
      </c>
      <c r="F91" s="24" t="s">
        <v>397</v>
      </c>
      <c r="G91" s="36" t="s">
        <v>398</v>
      </c>
      <c r="H91" s="1" t="s">
        <v>26</v>
      </c>
      <c r="I91" s="1" t="s">
        <v>249</v>
      </c>
      <c r="K91" s="48" t="s">
        <v>360</v>
      </c>
      <c r="L91" s="1"/>
    </row>
    <row r="92" spans="1:13" ht="21" x14ac:dyDescent="0.25">
      <c r="A92" s="1">
        <v>228</v>
      </c>
      <c r="B92" s="1" t="s">
        <v>511</v>
      </c>
      <c r="C92" s="1" t="s">
        <v>67</v>
      </c>
      <c r="D92" s="64" t="s">
        <v>303</v>
      </c>
      <c r="E92" s="1">
        <v>3</v>
      </c>
      <c r="F92" s="24" t="s">
        <v>399</v>
      </c>
      <c r="G92" s="36" t="s">
        <v>400</v>
      </c>
      <c r="H92" s="1" t="s">
        <v>283</v>
      </c>
      <c r="I92" s="1"/>
      <c r="K92" s="48" t="s">
        <v>360</v>
      </c>
      <c r="L92" s="1"/>
    </row>
    <row r="93" spans="1:13" ht="21" x14ac:dyDescent="0.25">
      <c r="A93" s="1">
        <v>229</v>
      </c>
      <c r="B93" s="1" t="s">
        <v>401</v>
      </c>
      <c r="C93" s="1" t="s">
        <v>67</v>
      </c>
      <c r="D93" s="1" t="s">
        <v>14</v>
      </c>
      <c r="E93" s="1">
        <v>1</v>
      </c>
      <c r="F93" s="24" t="s">
        <v>399</v>
      </c>
      <c r="G93" s="36" t="s">
        <v>402</v>
      </c>
      <c r="H93" s="1" t="s">
        <v>283</v>
      </c>
      <c r="I93" s="1"/>
      <c r="K93" s="48" t="s">
        <v>360</v>
      </c>
      <c r="L93" s="1"/>
    </row>
    <row r="94" spans="1:13" ht="21" x14ac:dyDescent="0.25">
      <c r="A94" s="1">
        <v>230</v>
      </c>
      <c r="B94" s="1" t="s">
        <v>422</v>
      </c>
      <c r="C94" s="1" t="s">
        <v>40</v>
      </c>
      <c r="D94" s="1" t="s">
        <v>14</v>
      </c>
      <c r="E94" s="1">
        <v>1</v>
      </c>
      <c r="F94" s="24" t="s">
        <v>399</v>
      </c>
      <c r="G94" s="36" t="s">
        <v>15</v>
      </c>
      <c r="H94" s="1" t="s">
        <v>26</v>
      </c>
      <c r="I94" s="1" t="s">
        <v>249</v>
      </c>
      <c r="K94" s="48" t="s">
        <v>360</v>
      </c>
      <c r="L94" s="1"/>
    </row>
    <row r="95" spans="1:13" ht="35.25" customHeight="1" x14ac:dyDescent="0.25">
      <c r="A95" s="1">
        <v>231</v>
      </c>
      <c r="B95" s="1" t="s">
        <v>403</v>
      </c>
      <c r="C95" s="1" t="s">
        <v>239</v>
      </c>
      <c r="D95" s="1" t="s">
        <v>14</v>
      </c>
      <c r="E95" s="1">
        <v>2</v>
      </c>
      <c r="F95" s="24" t="s">
        <v>404</v>
      </c>
      <c r="G95" s="67" t="s">
        <v>421</v>
      </c>
      <c r="H95" s="1" t="s">
        <v>314</v>
      </c>
      <c r="I95" s="1"/>
      <c r="K95" s="48" t="s">
        <v>360</v>
      </c>
      <c r="L95" s="1"/>
    </row>
    <row r="96" spans="1:13" ht="31.5" x14ac:dyDescent="0.25">
      <c r="A96" s="1">
        <v>232</v>
      </c>
      <c r="B96" s="1" t="s">
        <v>405</v>
      </c>
      <c r="C96" s="1" t="s">
        <v>236</v>
      </c>
      <c r="D96" s="64" t="s">
        <v>303</v>
      </c>
      <c r="E96" s="1">
        <v>6</v>
      </c>
      <c r="F96" s="24" t="s">
        <v>406</v>
      </c>
      <c r="G96" s="37" t="s">
        <v>407</v>
      </c>
      <c r="H96" s="1" t="s">
        <v>26</v>
      </c>
      <c r="I96" s="1"/>
      <c r="K96" s="48" t="s">
        <v>360</v>
      </c>
      <c r="L96" s="1"/>
    </row>
    <row r="97" spans="1:14" ht="15.75" x14ac:dyDescent="0.25">
      <c r="A97" s="1">
        <v>233</v>
      </c>
      <c r="B97" s="1" t="s">
        <v>408</v>
      </c>
      <c r="C97" s="1" t="s">
        <v>337</v>
      </c>
      <c r="D97" s="1" t="s">
        <v>14</v>
      </c>
      <c r="E97" s="1">
        <v>9</v>
      </c>
      <c r="F97" s="24" t="s">
        <v>409</v>
      </c>
      <c r="G97" s="37" t="s">
        <v>429</v>
      </c>
      <c r="H97" s="1" t="s">
        <v>334</v>
      </c>
      <c r="I97" s="1"/>
      <c r="K97" s="48" t="s">
        <v>360</v>
      </c>
      <c r="L97" s="1"/>
    </row>
    <row r="98" spans="1:14" ht="31.5" x14ac:dyDescent="0.25">
      <c r="A98" s="1">
        <v>234</v>
      </c>
      <c r="B98" s="1" t="s">
        <v>410</v>
      </c>
      <c r="C98" s="1" t="s">
        <v>337</v>
      </c>
      <c r="D98" s="16" t="s">
        <v>425</v>
      </c>
      <c r="E98" s="1">
        <v>6</v>
      </c>
      <c r="F98" s="24" t="s">
        <v>411</v>
      </c>
      <c r="G98" s="37" t="s">
        <v>412</v>
      </c>
      <c r="H98" s="1" t="s">
        <v>334</v>
      </c>
      <c r="I98" s="1"/>
      <c r="K98" s="48" t="s">
        <v>360</v>
      </c>
      <c r="L98" s="1"/>
    </row>
    <row r="99" spans="1:14" ht="31.5" x14ac:dyDescent="0.25">
      <c r="A99" s="1">
        <v>235</v>
      </c>
      <c r="B99" s="1" t="s">
        <v>413</v>
      </c>
      <c r="C99" s="1" t="s">
        <v>236</v>
      </c>
      <c r="D99" s="1" t="s">
        <v>14</v>
      </c>
      <c r="E99" s="1">
        <v>6</v>
      </c>
      <c r="F99" s="24" t="s">
        <v>414</v>
      </c>
      <c r="G99" s="37" t="s">
        <v>407</v>
      </c>
      <c r="H99" s="1" t="s">
        <v>26</v>
      </c>
      <c r="I99" s="1"/>
      <c r="K99" s="48" t="s">
        <v>360</v>
      </c>
      <c r="L99" s="1"/>
    </row>
    <row r="100" spans="1:14" ht="21" x14ac:dyDescent="0.25">
      <c r="A100" s="1">
        <v>236</v>
      </c>
      <c r="B100" s="1" t="s">
        <v>415</v>
      </c>
      <c r="C100" s="1" t="s">
        <v>239</v>
      </c>
      <c r="D100" s="1" t="s">
        <v>14</v>
      </c>
      <c r="E100" s="1">
        <v>1</v>
      </c>
      <c r="F100" s="24" t="s">
        <v>411</v>
      </c>
      <c r="G100" s="36" t="s">
        <v>391</v>
      </c>
      <c r="H100" s="1" t="s">
        <v>314</v>
      </c>
      <c r="I100" s="1"/>
      <c r="K100" s="48" t="s">
        <v>360</v>
      </c>
      <c r="L100" s="1"/>
    </row>
    <row r="101" spans="1:14" ht="15.75" x14ac:dyDescent="0.25">
      <c r="A101" s="1">
        <v>237</v>
      </c>
      <c r="B101" s="1" t="s">
        <v>416</v>
      </c>
      <c r="C101" s="1" t="s">
        <v>337</v>
      </c>
      <c r="D101" s="16" t="s">
        <v>14</v>
      </c>
      <c r="E101" s="1">
        <v>5</v>
      </c>
      <c r="F101" s="24" t="s">
        <v>411</v>
      </c>
      <c r="G101" s="37" t="s">
        <v>424</v>
      </c>
      <c r="H101" s="1" t="s">
        <v>334</v>
      </c>
      <c r="I101" s="1"/>
      <c r="K101" s="48" t="s">
        <v>360</v>
      </c>
      <c r="L101" s="1"/>
    </row>
    <row r="102" spans="1:14" ht="30" x14ac:dyDescent="0.25">
      <c r="A102" s="1">
        <v>237</v>
      </c>
      <c r="B102" s="1" t="s">
        <v>416</v>
      </c>
      <c r="C102" s="1" t="s">
        <v>337</v>
      </c>
      <c r="D102" s="16" t="s">
        <v>425</v>
      </c>
      <c r="E102" s="1">
        <v>3</v>
      </c>
      <c r="F102" s="24" t="s">
        <v>411</v>
      </c>
      <c r="G102" s="37" t="s">
        <v>423</v>
      </c>
      <c r="H102" s="1" t="s">
        <v>334</v>
      </c>
      <c r="I102" s="1"/>
      <c r="K102" s="48" t="s">
        <v>360</v>
      </c>
      <c r="L102" s="1"/>
    </row>
    <row r="103" spans="1:14" ht="24" thickBot="1" x14ac:dyDescent="0.3">
      <c r="A103" s="6">
        <v>238</v>
      </c>
      <c r="B103" s="6" t="s">
        <v>417</v>
      </c>
      <c r="C103" s="6" t="s">
        <v>419</v>
      </c>
      <c r="D103" s="6" t="s">
        <v>370</v>
      </c>
      <c r="E103" s="6">
        <v>1</v>
      </c>
      <c r="F103" s="66" t="s">
        <v>418</v>
      </c>
      <c r="G103" s="68" t="s">
        <v>364</v>
      </c>
      <c r="H103" s="6" t="s">
        <v>290</v>
      </c>
      <c r="I103" s="6"/>
      <c r="J103" s="6"/>
      <c r="K103" s="63" t="s">
        <v>360</v>
      </c>
      <c r="L103" s="1"/>
    </row>
    <row r="104" spans="1:14" ht="27" customHeight="1" thickTop="1" x14ac:dyDescent="0.25">
      <c r="A104" s="1">
        <v>239</v>
      </c>
      <c r="B104" s="1" t="s">
        <v>426</v>
      </c>
      <c r="C104" s="1" t="s">
        <v>236</v>
      </c>
      <c r="D104" s="16" t="s">
        <v>14</v>
      </c>
      <c r="E104" s="75">
        <v>1</v>
      </c>
      <c r="F104" s="24" t="s">
        <v>418</v>
      </c>
      <c r="G104" s="25" t="s">
        <v>74</v>
      </c>
      <c r="H104" s="1" t="s">
        <v>26</v>
      </c>
      <c r="I104" s="1"/>
      <c r="K104" s="48" t="s">
        <v>430</v>
      </c>
      <c r="L104" s="1"/>
    </row>
    <row r="105" spans="1:14" ht="23.25" x14ac:dyDescent="0.25">
      <c r="A105" s="1">
        <v>240</v>
      </c>
      <c r="B105" s="1" t="s">
        <v>427</v>
      </c>
      <c r="C105" s="1" t="s">
        <v>50</v>
      </c>
      <c r="D105" s="16" t="s">
        <v>14</v>
      </c>
      <c r="E105" s="75">
        <v>1</v>
      </c>
      <c r="F105" s="24" t="s">
        <v>418</v>
      </c>
      <c r="G105" s="25" t="s">
        <v>428</v>
      </c>
      <c r="H105" s="1" t="s">
        <v>314</v>
      </c>
      <c r="I105" s="1"/>
      <c r="K105" s="48" t="s">
        <v>430</v>
      </c>
      <c r="L105" s="1"/>
    </row>
    <row r="106" spans="1:14" ht="21" x14ac:dyDescent="0.25">
      <c r="A106" s="1">
        <v>241</v>
      </c>
      <c r="B106" s="1" t="s">
        <v>280</v>
      </c>
      <c r="C106" s="1" t="s">
        <v>40</v>
      </c>
      <c r="D106" s="16" t="s">
        <v>14</v>
      </c>
      <c r="E106" s="75">
        <v>1</v>
      </c>
      <c r="F106" s="24" t="s">
        <v>431</v>
      </c>
      <c r="G106" s="36" t="s">
        <v>15</v>
      </c>
      <c r="H106" s="1" t="s">
        <v>26</v>
      </c>
      <c r="I106" s="1"/>
      <c r="K106" s="48" t="s">
        <v>430</v>
      </c>
      <c r="L106" s="1"/>
    </row>
    <row r="107" spans="1:14" ht="21" x14ac:dyDescent="0.25">
      <c r="A107" s="1">
        <v>242</v>
      </c>
      <c r="B107" s="1" t="s">
        <v>432</v>
      </c>
      <c r="C107" s="1" t="s">
        <v>40</v>
      </c>
      <c r="D107" s="16" t="s">
        <v>14</v>
      </c>
      <c r="E107" s="75">
        <v>1</v>
      </c>
      <c r="F107" s="24" t="s">
        <v>433</v>
      </c>
      <c r="G107" s="25" t="s">
        <v>74</v>
      </c>
      <c r="H107" s="1" t="s">
        <v>26</v>
      </c>
      <c r="I107" s="1"/>
      <c r="K107" s="48" t="s">
        <v>430</v>
      </c>
      <c r="L107" s="1"/>
    </row>
    <row r="108" spans="1:14" ht="23.25" x14ac:dyDescent="0.25">
      <c r="A108" s="1">
        <v>243</v>
      </c>
      <c r="B108" s="1" t="s">
        <v>434</v>
      </c>
      <c r="C108" s="1" t="s">
        <v>289</v>
      </c>
      <c r="D108" s="16" t="s">
        <v>14</v>
      </c>
      <c r="E108" s="75">
        <v>1</v>
      </c>
      <c r="F108" s="24" t="s">
        <v>433</v>
      </c>
      <c r="G108" s="25" t="s">
        <v>428</v>
      </c>
      <c r="H108" s="1" t="s">
        <v>290</v>
      </c>
      <c r="I108" s="1"/>
      <c r="K108" s="48" t="s">
        <v>430</v>
      </c>
      <c r="L108" s="1" t="s">
        <v>519</v>
      </c>
    </row>
    <row r="109" spans="1:14" x14ac:dyDescent="0.25">
      <c r="A109" s="1">
        <v>244</v>
      </c>
      <c r="B109" s="1" t="s">
        <v>435</v>
      </c>
      <c r="C109" s="1" t="s">
        <v>50</v>
      </c>
      <c r="D109" s="64" t="s">
        <v>438</v>
      </c>
      <c r="E109" s="1">
        <v>1</v>
      </c>
      <c r="F109" s="24" t="s">
        <v>436</v>
      </c>
      <c r="G109" s="64" t="s">
        <v>437</v>
      </c>
      <c r="H109" s="1" t="s">
        <v>314</v>
      </c>
      <c r="I109" s="1"/>
      <c r="K109" s="48" t="s">
        <v>430</v>
      </c>
      <c r="L109" s="1"/>
    </row>
    <row r="110" spans="1:14" ht="21" x14ac:dyDescent="0.25">
      <c r="A110" s="17">
        <v>245</v>
      </c>
      <c r="B110" s="17" t="s">
        <v>439</v>
      </c>
      <c r="C110" s="17" t="s">
        <v>289</v>
      </c>
      <c r="D110" s="21" t="s">
        <v>14</v>
      </c>
      <c r="E110" s="82">
        <v>3</v>
      </c>
      <c r="F110" s="18" t="s">
        <v>436</v>
      </c>
      <c r="G110" s="62" t="s">
        <v>440</v>
      </c>
      <c r="H110" s="17" t="s">
        <v>290</v>
      </c>
      <c r="I110" s="17" t="s">
        <v>525</v>
      </c>
      <c r="J110" s="17"/>
      <c r="K110" s="61" t="s">
        <v>430</v>
      </c>
      <c r="L110" s="1"/>
      <c r="N110" s="76">
        <f>SUM(E104,E105,E106,E107,E110,E112,E114,E116,E118,E122,E123,E124,E125,E126,E131)</f>
        <v>37</v>
      </c>
    </row>
    <row r="111" spans="1:14" ht="15.75" x14ac:dyDescent="0.25">
      <c r="A111" s="1">
        <v>246</v>
      </c>
      <c r="B111" s="1" t="s">
        <v>441</v>
      </c>
      <c r="C111" s="1" t="s">
        <v>337</v>
      </c>
      <c r="D111" s="64" t="s">
        <v>303</v>
      </c>
      <c r="E111" s="1">
        <v>8</v>
      </c>
      <c r="F111" s="24" t="s">
        <v>442</v>
      </c>
      <c r="G111" s="37" t="s">
        <v>443</v>
      </c>
      <c r="H111" s="1" t="s">
        <v>334</v>
      </c>
      <c r="I111" s="1"/>
      <c r="K111" s="48" t="s">
        <v>430</v>
      </c>
      <c r="L111" s="1"/>
    </row>
    <row r="112" spans="1:14" ht="21" x14ac:dyDescent="0.25">
      <c r="A112" s="1">
        <v>247</v>
      </c>
      <c r="B112" s="1" t="s">
        <v>444</v>
      </c>
      <c r="C112" s="1" t="s">
        <v>120</v>
      </c>
      <c r="D112" s="16" t="s">
        <v>14</v>
      </c>
      <c r="E112" s="75">
        <v>1</v>
      </c>
      <c r="F112" s="24" t="s">
        <v>445</v>
      </c>
      <c r="G112" s="36" t="s">
        <v>446</v>
      </c>
      <c r="H112" s="1" t="s">
        <v>314</v>
      </c>
      <c r="I112" s="1"/>
      <c r="K112" s="48" t="s">
        <v>430</v>
      </c>
      <c r="L112" s="1"/>
    </row>
    <row r="113" spans="1:15" ht="15.75" x14ac:dyDescent="0.25">
      <c r="A113" s="1">
        <v>248</v>
      </c>
      <c r="B113" s="1" t="s">
        <v>447</v>
      </c>
      <c r="C113" s="1" t="s">
        <v>294</v>
      </c>
      <c r="D113" s="64" t="s">
        <v>303</v>
      </c>
      <c r="E113" s="1">
        <v>12</v>
      </c>
      <c r="F113" s="24" t="s">
        <v>445</v>
      </c>
      <c r="G113" s="37" t="s">
        <v>448</v>
      </c>
      <c r="H113" s="1" t="s">
        <v>26</v>
      </c>
      <c r="I113" s="1"/>
      <c r="K113" s="48" t="s">
        <v>430</v>
      </c>
      <c r="L113" s="1"/>
      <c r="O113">
        <f>SUM(E111,E113,E115)</f>
        <v>32</v>
      </c>
    </row>
    <row r="114" spans="1:15" ht="15.75" x14ac:dyDescent="0.25">
      <c r="A114" s="1">
        <v>249</v>
      </c>
      <c r="B114" s="1" t="s">
        <v>90</v>
      </c>
      <c r="C114" s="1" t="s">
        <v>450</v>
      </c>
      <c r="D114" s="16" t="s">
        <v>14</v>
      </c>
      <c r="E114" s="75">
        <v>6</v>
      </c>
      <c r="F114" s="24" t="s">
        <v>445</v>
      </c>
      <c r="G114" s="37" t="s">
        <v>449</v>
      </c>
      <c r="H114" s="1" t="s">
        <v>451</v>
      </c>
      <c r="I114" s="1"/>
      <c r="K114" s="48" t="s">
        <v>430</v>
      </c>
      <c r="L114" s="1"/>
    </row>
    <row r="115" spans="1:15" ht="15.75" x14ac:dyDescent="0.25">
      <c r="A115" s="1">
        <v>250</v>
      </c>
      <c r="B115" s="1" t="s">
        <v>452</v>
      </c>
      <c r="C115" s="1" t="s">
        <v>236</v>
      </c>
      <c r="D115" s="64" t="s">
        <v>303</v>
      </c>
      <c r="E115" s="1">
        <v>12</v>
      </c>
      <c r="F115" s="24" t="s">
        <v>453</v>
      </c>
      <c r="G115" s="37" t="s">
        <v>454</v>
      </c>
      <c r="H115" s="1" t="s">
        <v>26</v>
      </c>
      <c r="I115" s="1"/>
      <c r="K115" s="48" t="s">
        <v>430</v>
      </c>
      <c r="L115" s="1"/>
    </row>
    <row r="116" spans="1:15" ht="15.75" x14ac:dyDescent="0.25">
      <c r="A116" s="1" t="s">
        <v>476</v>
      </c>
      <c r="B116" s="1" t="s">
        <v>452</v>
      </c>
      <c r="C116" s="1" t="s">
        <v>236</v>
      </c>
      <c r="D116" s="16" t="s">
        <v>14</v>
      </c>
      <c r="E116" s="75">
        <v>12</v>
      </c>
      <c r="F116" s="24" t="s">
        <v>475</v>
      </c>
      <c r="G116" s="37" t="s">
        <v>454</v>
      </c>
      <c r="H116" s="1" t="s">
        <v>26</v>
      </c>
      <c r="I116" s="1"/>
      <c r="K116" s="48" t="s">
        <v>430</v>
      </c>
      <c r="L116" s="1"/>
    </row>
    <row r="117" spans="1:15" ht="30" x14ac:dyDescent="0.25">
      <c r="A117" s="1">
        <v>251</v>
      </c>
      <c r="B117" s="1" t="s">
        <v>457</v>
      </c>
      <c r="C117" s="1" t="s">
        <v>337</v>
      </c>
      <c r="D117" s="16" t="s">
        <v>425</v>
      </c>
      <c r="E117" s="1">
        <v>1</v>
      </c>
      <c r="F117" s="24" t="s">
        <v>453</v>
      </c>
      <c r="G117" s="36" t="s">
        <v>456</v>
      </c>
      <c r="H117" s="12" t="s">
        <v>458</v>
      </c>
      <c r="I117" s="1"/>
      <c r="K117" s="48" t="s">
        <v>430</v>
      </c>
      <c r="L117" s="1"/>
    </row>
    <row r="118" spans="1:15" ht="15.75" x14ac:dyDescent="0.25">
      <c r="A118" s="1">
        <v>252</v>
      </c>
      <c r="B118" s="1" t="s">
        <v>455</v>
      </c>
      <c r="C118" s="1" t="s">
        <v>461</v>
      </c>
      <c r="D118" s="16" t="s">
        <v>14</v>
      </c>
      <c r="E118" s="75">
        <v>3</v>
      </c>
      <c r="F118" s="24" t="s">
        <v>459</v>
      </c>
      <c r="G118" s="37" t="s">
        <v>460</v>
      </c>
      <c r="H118" s="1" t="s">
        <v>26</v>
      </c>
      <c r="I118" s="1"/>
      <c r="K118" s="48" t="s">
        <v>430</v>
      </c>
      <c r="L118" s="1"/>
    </row>
    <row r="119" spans="1:15" ht="30" x14ac:dyDescent="0.25">
      <c r="A119" s="1">
        <v>253</v>
      </c>
      <c r="B119" s="1" t="s">
        <v>477</v>
      </c>
      <c r="C119" s="1" t="s">
        <v>480</v>
      </c>
      <c r="D119" s="16" t="s">
        <v>425</v>
      </c>
      <c r="E119" s="1">
        <v>4</v>
      </c>
      <c r="F119" s="24" t="s">
        <v>478</v>
      </c>
      <c r="G119" s="37" t="s">
        <v>479</v>
      </c>
      <c r="H119" s="1" t="s">
        <v>458</v>
      </c>
      <c r="L119" s="1"/>
    </row>
    <row r="120" spans="1:15" ht="30" x14ac:dyDescent="0.25">
      <c r="A120" s="1">
        <v>254</v>
      </c>
      <c r="B120" s="1" t="s">
        <v>481</v>
      </c>
      <c r="C120" s="1" t="s">
        <v>480</v>
      </c>
      <c r="D120" s="16" t="s">
        <v>425</v>
      </c>
      <c r="E120" s="1">
        <v>10</v>
      </c>
      <c r="F120" s="24" t="s">
        <v>482</v>
      </c>
      <c r="G120" s="37" t="s">
        <v>483</v>
      </c>
      <c r="H120" s="1" t="s">
        <v>458</v>
      </c>
      <c r="I120" s="1"/>
      <c r="K120" s="48" t="s">
        <v>430</v>
      </c>
      <c r="L120" s="1"/>
    </row>
    <row r="121" spans="1:15" ht="30" x14ac:dyDescent="0.25">
      <c r="A121" s="1">
        <v>255</v>
      </c>
      <c r="B121" s="1" t="s">
        <v>484</v>
      </c>
      <c r="C121" s="1" t="s">
        <v>480</v>
      </c>
      <c r="D121" s="16" t="s">
        <v>425</v>
      </c>
      <c r="E121" s="1">
        <v>5</v>
      </c>
      <c r="F121" s="24" t="s">
        <v>482</v>
      </c>
      <c r="G121" s="37" t="s">
        <v>485</v>
      </c>
      <c r="H121" s="1" t="s">
        <v>458</v>
      </c>
      <c r="I121" s="1"/>
      <c r="K121" s="48" t="s">
        <v>430</v>
      </c>
      <c r="L121" s="1"/>
      <c r="N121">
        <f>SUM(E117,E120,E121,E127,E128,E129)</f>
        <v>30</v>
      </c>
    </row>
    <row r="122" spans="1:15" ht="15.75" x14ac:dyDescent="0.25">
      <c r="A122" s="1">
        <v>256</v>
      </c>
      <c r="B122" s="1" t="s">
        <v>486</v>
      </c>
      <c r="C122" s="1" t="s">
        <v>487</v>
      </c>
      <c r="D122" s="16" t="s">
        <v>14</v>
      </c>
      <c r="E122" s="75">
        <v>1</v>
      </c>
      <c r="F122" s="24" t="s">
        <v>482</v>
      </c>
      <c r="G122" s="37" t="s">
        <v>373</v>
      </c>
      <c r="H122" s="1" t="s">
        <v>488</v>
      </c>
      <c r="I122" s="1"/>
      <c r="K122" s="48" t="s">
        <v>430</v>
      </c>
      <c r="L122" s="1"/>
    </row>
    <row r="123" spans="1:15" ht="15.75" x14ac:dyDescent="0.25">
      <c r="A123" s="1">
        <v>257</v>
      </c>
      <c r="B123" s="1" t="s">
        <v>489</v>
      </c>
      <c r="C123" s="1" t="s">
        <v>239</v>
      </c>
      <c r="D123" s="16" t="s">
        <v>14</v>
      </c>
      <c r="E123" s="75">
        <v>1</v>
      </c>
      <c r="F123" s="24" t="s">
        <v>482</v>
      </c>
      <c r="G123" s="37" t="s">
        <v>490</v>
      </c>
      <c r="H123" s="1" t="s">
        <v>491</v>
      </c>
      <c r="I123" s="1"/>
      <c r="K123" s="48" t="s">
        <v>430</v>
      </c>
      <c r="L123" s="1"/>
    </row>
    <row r="124" spans="1:15" ht="21" x14ac:dyDescent="0.25">
      <c r="A124" s="26">
        <v>258</v>
      </c>
      <c r="B124" s="26" t="s">
        <v>73</v>
      </c>
      <c r="C124" s="26" t="s">
        <v>120</v>
      </c>
      <c r="D124" s="78" t="s">
        <v>14</v>
      </c>
      <c r="E124" s="79">
        <v>1</v>
      </c>
      <c r="F124" s="31" t="s">
        <v>493</v>
      </c>
      <c r="G124" s="29" t="s">
        <v>51</v>
      </c>
      <c r="H124" s="26" t="s">
        <v>491</v>
      </c>
      <c r="I124" s="81" t="s">
        <v>151</v>
      </c>
      <c r="J124" s="26"/>
      <c r="K124" s="80" t="s">
        <v>430</v>
      </c>
      <c r="L124" s="1"/>
    </row>
    <row r="125" spans="1:15" ht="15.75" x14ac:dyDescent="0.25">
      <c r="A125" s="1">
        <v>259</v>
      </c>
      <c r="B125" s="1" t="s">
        <v>494</v>
      </c>
      <c r="C125" s="1" t="s">
        <v>239</v>
      </c>
      <c r="D125" s="16" t="s">
        <v>14</v>
      </c>
      <c r="E125" s="75">
        <v>1</v>
      </c>
      <c r="F125" s="24" t="s">
        <v>493</v>
      </c>
      <c r="G125" s="37" t="s">
        <v>373</v>
      </c>
      <c r="H125" s="1" t="s">
        <v>491</v>
      </c>
      <c r="I125" s="1"/>
      <c r="K125" s="48" t="s">
        <v>430</v>
      </c>
      <c r="L125" s="1"/>
    </row>
    <row r="126" spans="1:15" ht="23.25" x14ac:dyDescent="0.25">
      <c r="A126" s="1">
        <v>260</v>
      </c>
      <c r="B126" s="1" t="s">
        <v>403</v>
      </c>
      <c r="C126" s="1" t="s">
        <v>239</v>
      </c>
      <c r="D126" s="16" t="s">
        <v>14</v>
      </c>
      <c r="E126" s="75">
        <v>1</v>
      </c>
      <c r="F126" s="24" t="s">
        <v>495</v>
      </c>
      <c r="G126" s="25" t="s">
        <v>364</v>
      </c>
      <c r="H126" s="1" t="s">
        <v>491</v>
      </c>
      <c r="I126" s="1"/>
      <c r="K126" s="48" t="s">
        <v>430</v>
      </c>
      <c r="L126" s="1"/>
    </row>
    <row r="127" spans="1:15" ht="30" x14ac:dyDescent="0.25">
      <c r="A127" s="1">
        <v>261</v>
      </c>
      <c r="B127" s="1" t="s">
        <v>500</v>
      </c>
      <c r="C127" s="1" t="s">
        <v>480</v>
      </c>
      <c r="D127" s="16" t="s">
        <v>425</v>
      </c>
      <c r="E127" s="1">
        <v>2</v>
      </c>
      <c r="F127" s="24" t="s">
        <v>495</v>
      </c>
      <c r="G127" s="37" t="s">
        <v>291</v>
      </c>
      <c r="H127" s="1" t="s">
        <v>458</v>
      </c>
      <c r="I127" s="1"/>
      <c r="K127" s="48" t="s">
        <v>430</v>
      </c>
      <c r="L127" s="1"/>
    </row>
    <row r="128" spans="1:15" ht="30" x14ac:dyDescent="0.25">
      <c r="A128" s="1">
        <v>262</v>
      </c>
      <c r="B128" s="1" t="s">
        <v>501</v>
      </c>
      <c r="C128" s="1" t="s">
        <v>480</v>
      </c>
      <c r="D128" s="16" t="s">
        <v>425</v>
      </c>
      <c r="E128" s="1">
        <v>2</v>
      </c>
      <c r="F128" s="24"/>
      <c r="G128" s="25" t="s">
        <v>502</v>
      </c>
      <c r="H128" s="1" t="s">
        <v>458</v>
      </c>
      <c r="I128" s="1"/>
      <c r="K128" s="48" t="s">
        <v>430</v>
      </c>
      <c r="L128" s="1"/>
    </row>
    <row r="129" spans="1:15" ht="31.5" x14ac:dyDescent="0.25">
      <c r="A129" s="1">
        <v>263</v>
      </c>
      <c r="B129" s="1" t="s">
        <v>503</v>
      </c>
      <c r="C129" s="1" t="s">
        <v>480</v>
      </c>
      <c r="D129" s="16" t="s">
        <v>425</v>
      </c>
      <c r="E129" s="1">
        <v>10</v>
      </c>
      <c r="F129" s="24" t="s">
        <v>504</v>
      </c>
      <c r="G129" s="37" t="s">
        <v>505</v>
      </c>
      <c r="H129" s="1" t="s">
        <v>458</v>
      </c>
      <c r="I129" s="1"/>
      <c r="K129" s="48" t="s">
        <v>430</v>
      </c>
      <c r="L129" s="1"/>
    </row>
    <row r="130" spans="1:15" ht="30" x14ac:dyDescent="0.25">
      <c r="A130" s="1">
        <v>264</v>
      </c>
      <c r="B130" s="1" t="s">
        <v>506</v>
      </c>
      <c r="C130" s="1" t="s">
        <v>480</v>
      </c>
      <c r="D130" s="16" t="s">
        <v>507</v>
      </c>
      <c r="E130" s="1">
        <v>7</v>
      </c>
      <c r="F130" s="24" t="s">
        <v>508</v>
      </c>
      <c r="G130" s="37" t="s">
        <v>509</v>
      </c>
      <c r="H130" s="1" t="s">
        <v>458</v>
      </c>
      <c r="I130" s="1"/>
      <c r="K130" s="48" t="s">
        <v>430</v>
      </c>
      <c r="L130" s="1"/>
      <c r="O130">
        <v>7</v>
      </c>
    </row>
    <row r="131" spans="1:15" ht="21" x14ac:dyDescent="0.25">
      <c r="A131" s="1">
        <v>265</v>
      </c>
      <c r="B131" s="1" t="s">
        <v>510</v>
      </c>
      <c r="C131" s="1" t="s">
        <v>487</v>
      </c>
      <c r="D131" s="16" t="s">
        <v>14</v>
      </c>
      <c r="E131" s="75">
        <v>3</v>
      </c>
      <c r="F131" s="24" t="s">
        <v>508</v>
      </c>
      <c r="G131" s="36" t="s">
        <v>400</v>
      </c>
      <c r="H131" s="1" t="s">
        <v>488</v>
      </c>
      <c r="I131" s="1"/>
      <c r="K131" s="48" t="s">
        <v>430</v>
      </c>
      <c r="L131" s="1"/>
    </row>
    <row r="132" spans="1:15" ht="30" x14ac:dyDescent="0.25">
      <c r="A132" s="1">
        <v>266</v>
      </c>
      <c r="B132" s="1" t="s">
        <v>512</v>
      </c>
      <c r="C132" s="1" t="s">
        <v>289</v>
      </c>
      <c r="D132" s="16" t="s">
        <v>425</v>
      </c>
      <c r="E132" s="1">
        <v>4</v>
      </c>
      <c r="F132" s="24" t="s">
        <v>513</v>
      </c>
      <c r="G132" s="37" t="s">
        <v>514</v>
      </c>
      <c r="H132" s="1" t="s">
        <v>290</v>
      </c>
      <c r="I132" s="1"/>
      <c r="K132" s="48" t="s">
        <v>430</v>
      </c>
      <c r="L132" s="1"/>
    </row>
    <row r="133" spans="1:15" ht="21" x14ac:dyDescent="0.25">
      <c r="A133" s="1">
        <v>267</v>
      </c>
      <c r="B133" s="1" t="s">
        <v>515</v>
      </c>
      <c r="C133" s="1" t="s">
        <v>461</v>
      </c>
      <c r="D133" s="16" t="s">
        <v>14</v>
      </c>
      <c r="E133" s="1">
        <v>1</v>
      </c>
      <c r="F133" s="24" t="s">
        <v>513</v>
      </c>
      <c r="G133" s="67" t="s">
        <v>74</v>
      </c>
      <c r="H133" s="1" t="s">
        <v>26</v>
      </c>
      <c r="I133" s="1"/>
      <c r="K133" s="48" t="s">
        <v>430</v>
      </c>
      <c r="L133" s="1"/>
    </row>
    <row r="134" spans="1:15" ht="30" x14ac:dyDescent="0.25">
      <c r="A134" s="1">
        <v>268</v>
      </c>
      <c r="B134" s="1" t="s">
        <v>520</v>
      </c>
      <c r="C134" s="1" t="s">
        <v>521</v>
      </c>
      <c r="D134" s="16" t="s">
        <v>425</v>
      </c>
      <c r="E134" s="1">
        <v>10</v>
      </c>
      <c r="F134" s="24"/>
      <c r="G134" s="37" t="s">
        <v>522</v>
      </c>
      <c r="H134" s="1" t="s">
        <v>26</v>
      </c>
      <c r="I134" s="1"/>
      <c r="K134" s="48" t="s">
        <v>430</v>
      </c>
      <c r="L134" s="1"/>
    </row>
    <row r="135" spans="1:15" ht="21" x14ac:dyDescent="0.25">
      <c r="A135" s="1">
        <v>269</v>
      </c>
      <c r="B135" s="1" t="s">
        <v>516</v>
      </c>
      <c r="C135" s="1" t="s">
        <v>461</v>
      </c>
      <c r="D135" s="16" t="s">
        <v>14</v>
      </c>
      <c r="E135" s="1">
        <v>1</v>
      </c>
      <c r="F135" s="24" t="s">
        <v>517</v>
      </c>
      <c r="G135" s="25" t="s">
        <v>20</v>
      </c>
      <c r="H135" s="1" t="s">
        <v>26</v>
      </c>
      <c r="I135" s="1"/>
      <c r="K135" s="48" t="s">
        <v>430</v>
      </c>
      <c r="L135" s="1"/>
    </row>
    <row r="136" spans="1:15" ht="18.75" x14ac:dyDescent="0.25">
      <c r="A136" s="1">
        <v>270</v>
      </c>
      <c r="B136" s="1" t="s">
        <v>518</v>
      </c>
      <c r="C136" s="1" t="s">
        <v>239</v>
      </c>
      <c r="D136" s="16" t="s">
        <v>14</v>
      </c>
      <c r="E136" s="1">
        <v>1</v>
      </c>
      <c r="F136" s="24" t="s">
        <v>517</v>
      </c>
      <c r="G136" s="77" t="s">
        <v>490</v>
      </c>
      <c r="H136" s="1" t="s">
        <v>491</v>
      </c>
      <c r="I136" s="1"/>
      <c r="K136" s="48" t="s">
        <v>430</v>
      </c>
      <c r="L136" s="1"/>
    </row>
    <row r="137" spans="1:15" ht="15.75" x14ac:dyDescent="0.25">
      <c r="A137" s="1">
        <v>271</v>
      </c>
      <c r="B137" s="1" t="s">
        <v>523</v>
      </c>
      <c r="C137" s="1" t="s">
        <v>524</v>
      </c>
      <c r="D137" s="16" t="s">
        <v>14</v>
      </c>
      <c r="E137" s="1">
        <v>12</v>
      </c>
      <c r="F137" s="24"/>
      <c r="G137" s="37" t="s">
        <v>448</v>
      </c>
      <c r="H137" s="1" t="s">
        <v>26</v>
      </c>
      <c r="I137" s="1"/>
      <c r="K137" s="48" t="s">
        <v>430</v>
      </c>
      <c r="L137" s="1"/>
    </row>
    <row r="138" spans="1:15" ht="21" x14ac:dyDescent="0.25">
      <c r="A138" s="1">
        <v>272</v>
      </c>
      <c r="B138" s="1" t="s">
        <v>84</v>
      </c>
      <c r="C138" s="1" t="s">
        <v>526</v>
      </c>
      <c r="D138" s="16" t="s">
        <v>14</v>
      </c>
      <c r="E138" s="1">
        <v>1</v>
      </c>
      <c r="F138" s="24" t="s">
        <v>527</v>
      </c>
      <c r="G138" s="67" t="s">
        <v>51</v>
      </c>
      <c r="H138" s="1" t="s">
        <v>488</v>
      </c>
      <c r="I138" s="1"/>
      <c r="K138" s="48" t="s">
        <v>430</v>
      </c>
      <c r="L138" s="1"/>
    </row>
    <row r="139" spans="1:15" ht="21" x14ac:dyDescent="0.25">
      <c r="A139" s="1">
        <v>273</v>
      </c>
      <c r="B139" s="1" t="s">
        <v>528</v>
      </c>
      <c r="C139" s="1" t="s">
        <v>529</v>
      </c>
      <c r="D139" s="16" t="s">
        <v>14</v>
      </c>
      <c r="E139" s="1">
        <v>1</v>
      </c>
      <c r="F139" s="24" t="s">
        <v>530</v>
      </c>
      <c r="G139" s="67" t="s">
        <v>531</v>
      </c>
      <c r="H139" s="1" t="s">
        <v>26</v>
      </c>
      <c r="I139" s="1"/>
      <c r="K139" s="48" t="s">
        <v>430</v>
      </c>
      <c r="L139" s="1"/>
    </row>
    <row r="140" spans="1:15" ht="21" x14ac:dyDescent="0.25">
      <c r="A140" s="1">
        <v>274</v>
      </c>
      <c r="B140" s="1" t="s">
        <v>532</v>
      </c>
      <c r="C140" s="1" t="s">
        <v>487</v>
      </c>
      <c r="D140" s="16" t="s">
        <v>14</v>
      </c>
      <c r="E140" s="1">
        <v>1</v>
      </c>
      <c r="F140" s="24" t="s">
        <v>530</v>
      </c>
      <c r="G140" s="67" t="s">
        <v>74</v>
      </c>
      <c r="H140" s="1" t="s">
        <v>488</v>
      </c>
      <c r="I140" s="1"/>
      <c r="K140" s="48" t="s">
        <v>430</v>
      </c>
      <c r="L140" s="1"/>
    </row>
    <row r="141" spans="1:15" ht="21" x14ac:dyDescent="0.25">
      <c r="A141" s="1">
        <v>275</v>
      </c>
      <c r="B141" s="1" t="s">
        <v>533</v>
      </c>
      <c r="C141" s="1" t="s">
        <v>487</v>
      </c>
      <c r="D141" s="16" t="s">
        <v>14</v>
      </c>
      <c r="E141" s="1">
        <v>1</v>
      </c>
      <c r="F141" s="24"/>
      <c r="G141" s="36" t="s">
        <v>373</v>
      </c>
      <c r="H141" s="1" t="s">
        <v>488</v>
      </c>
      <c r="I141" s="1"/>
      <c r="K141" s="48" t="s">
        <v>430</v>
      </c>
      <c r="L141" s="1"/>
    </row>
    <row r="142" spans="1:15" x14ac:dyDescent="0.25">
      <c r="D142" s="64"/>
      <c r="E142" s="1"/>
      <c r="F142" s="24"/>
      <c r="G142" s="64"/>
      <c r="H142" s="1"/>
      <c r="I142" s="1"/>
      <c r="K142" s="48" t="s">
        <v>430</v>
      </c>
      <c r="L142" s="1"/>
    </row>
    <row r="143" spans="1:15" x14ac:dyDescent="0.25">
      <c r="D143" s="64"/>
      <c r="E143" s="1"/>
      <c r="F143" s="24"/>
      <c r="G143" s="64"/>
      <c r="H143" s="1"/>
      <c r="I143" s="1"/>
      <c r="K143" s="48" t="s">
        <v>430</v>
      </c>
      <c r="L143" s="1"/>
    </row>
    <row r="144" spans="1:15" x14ac:dyDescent="0.25">
      <c r="D144" s="64"/>
      <c r="E144" s="1"/>
      <c r="F144" s="24"/>
      <c r="G144" s="64"/>
      <c r="H144" s="1"/>
      <c r="I144" s="1"/>
      <c r="K144" s="48" t="s">
        <v>430</v>
      </c>
      <c r="L144" s="1"/>
    </row>
    <row r="145" spans="4:12" x14ac:dyDescent="0.25">
      <c r="D145" s="64"/>
      <c r="E145" s="1"/>
      <c r="F145" s="24"/>
      <c r="G145" s="64"/>
      <c r="H145" s="1"/>
      <c r="I145" s="1"/>
      <c r="K145" s="48" t="s">
        <v>430</v>
      </c>
      <c r="L145" s="1"/>
    </row>
    <row r="146" spans="4:12" x14ac:dyDescent="0.25">
      <c r="D146" s="64"/>
      <c r="E146" s="1"/>
      <c r="F146" s="24"/>
      <c r="G146" s="64"/>
      <c r="H146" s="1"/>
      <c r="I146" s="1"/>
      <c r="K146" s="48" t="s">
        <v>430</v>
      </c>
      <c r="L146" s="1"/>
    </row>
    <row r="147" spans="4:12" x14ac:dyDescent="0.25">
      <c r="D147" s="64"/>
      <c r="E147" s="1"/>
      <c r="F147" s="24"/>
      <c r="G147" s="64"/>
      <c r="H147" s="1"/>
      <c r="I147" s="1"/>
      <c r="K147" s="48" t="s">
        <v>430</v>
      </c>
      <c r="L147" s="1"/>
    </row>
    <row r="148" spans="4:12" x14ac:dyDescent="0.25">
      <c r="D148" s="64"/>
      <c r="E148" s="1"/>
      <c r="F148" s="24"/>
      <c r="G148" s="64"/>
      <c r="H148" s="1"/>
      <c r="I148" s="1"/>
      <c r="K148" s="48" t="s">
        <v>430</v>
      </c>
      <c r="L148" s="1"/>
    </row>
    <row r="149" spans="4:12" x14ac:dyDescent="0.25">
      <c r="D149" s="64"/>
      <c r="E149" s="1"/>
      <c r="F149" s="24"/>
      <c r="G149" s="64"/>
      <c r="H149" s="1"/>
      <c r="I149" s="1"/>
      <c r="K149" s="48" t="s">
        <v>430</v>
      </c>
      <c r="L149" s="1"/>
    </row>
    <row r="150" spans="4:12" x14ac:dyDescent="0.25">
      <c r="D150" s="64"/>
      <c r="E150" s="1"/>
      <c r="F150" s="24"/>
      <c r="G150" s="64"/>
      <c r="H150" s="1"/>
      <c r="I150" s="1"/>
      <c r="K150" s="48" t="s">
        <v>430</v>
      </c>
      <c r="L150" s="1"/>
    </row>
    <row r="151" spans="4:12" x14ac:dyDescent="0.25">
      <c r="D151" s="64"/>
      <c r="E151" s="1"/>
      <c r="F151" s="24"/>
      <c r="G151" s="64"/>
      <c r="H151" s="1"/>
      <c r="I151" s="1"/>
      <c r="K151" s="48" t="s">
        <v>430</v>
      </c>
      <c r="L151" s="1"/>
    </row>
    <row r="152" spans="4:12" x14ac:dyDescent="0.25">
      <c r="D152" s="64"/>
      <c r="E152" s="1"/>
      <c r="F152" s="24"/>
      <c r="G152" s="64"/>
      <c r="H152" s="1"/>
      <c r="I152" s="1"/>
      <c r="K152" s="48" t="s">
        <v>430</v>
      </c>
      <c r="L152" s="1"/>
    </row>
    <row r="153" spans="4:12" x14ac:dyDescent="0.25">
      <c r="D153" s="64"/>
      <c r="E153" s="1"/>
      <c r="F153" s="24"/>
      <c r="G153" s="64"/>
      <c r="H153" s="1"/>
      <c r="I153" s="1"/>
      <c r="K153" s="48" t="s">
        <v>430</v>
      </c>
      <c r="L153" s="1"/>
    </row>
    <row r="154" spans="4:12" x14ac:dyDescent="0.25">
      <c r="D154" s="64"/>
      <c r="E154" s="1"/>
      <c r="F154" s="24"/>
      <c r="G154" s="64"/>
      <c r="H154" s="1"/>
      <c r="I154" s="1"/>
      <c r="K154" s="48" t="s">
        <v>430</v>
      </c>
      <c r="L154" s="1"/>
    </row>
    <row r="155" spans="4:12" x14ac:dyDescent="0.25">
      <c r="D155" s="64"/>
      <c r="E155" s="1"/>
      <c r="F155" s="24"/>
      <c r="G155" s="64"/>
      <c r="H155" s="1"/>
      <c r="I155" s="1"/>
      <c r="K155" s="48" t="s">
        <v>430</v>
      </c>
      <c r="L155" s="1"/>
    </row>
    <row r="156" spans="4:12" x14ac:dyDescent="0.25">
      <c r="D156" s="64"/>
      <c r="E156" s="1"/>
      <c r="F156" s="24"/>
      <c r="G156" s="64"/>
      <c r="H156" s="1"/>
      <c r="I156" s="1"/>
      <c r="K156" s="48" t="s">
        <v>430</v>
      </c>
      <c r="L156" s="1"/>
    </row>
    <row r="157" spans="4:12" x14ac:dyDescent="0.25">
      <c r="D157" s="64"/>
      <c r="E157" s="1"/>
      <c r="F157" s="24"/>
      <c r="G157" s="64"/>
      <c r="H157" s="1"/>
      <c r="I157" s="1"/>
      <c r="K157" s="48" t="s">
        <v>430</v>
      </c>
      <c r="L157" s="1"/>
    </row>
    <row r="158" spans="4:12" x14ac:dyDescent="0.25">
      <c r="D158" s="64"/>
      <c r="E158" s="1"/>
      <c r="F158" s="24"/>
      <c r="G158" s="64"/>
      <c r="H158" s="1"/>
      <c r="I158" s="1"/>
      <c r="K158" s="48" t="s">
        <v>430</v>
      </c>
      <c r="L158" s="1"/>
    </row>
    <row r="159" spans="4:12" x14ac:dyDescent="0.25">
      <c r="D159" s="64"/>
      <c r="E159" s="1"/>
      <c r="F159" s="24"/>
      <c r="G159" s="64"/>
      <c r="H159" s="1"/>
      <c r="I159" s="1"/>
      <c r="K159" s="48" t="s">
        <v>430</v>
      </c>
      <c r="L159" s="1"/>
    </row>
    <row r="160" spans="4:12" x14ac:dyDescent="0.25">
      <c r="D160" s="64"/>
      <c r="E160" s="1"/>
      <c r="F160" s="24"/>
      <c r="G160" s="64"/>
      <c r="H160" s="1"/>
      <c r="I160" s="1"/>
      <c r="K160" s="48" t="s">
        <v>430</v>
      </c>
      <c r="L160" s="1"/>
    </row>
    <row r="161" spans="4:12" x14ac:dyDescent="0.25">
      <c r="D161" s="64"/>
      <c r="E161" s="1"/>
      <c r="F161" s="24"/>
      <c r="G161" s="64"/>
      <c r="H161" s="1"/>
      <c r="I161" s="1"/>
      <c r="K161" s="48" t="s">
        <v>430</v>
      </c>
      <c r="L161" s="1"/>
    </row>
    <row r="162" spans="4:12" x14ac:dyDescent="0.25">
      <c r="D162" s="64"/>
      <c r="E162" s="1"/>
      <c r="F162" s="24"/>
      <c r="G162" s="64"/>
      <c r="H162" s="1"/>
      <c r="I162" s="1"/>
      <c r="K162" s="48" t="s">
        <v>430</v>
      </c>
      <c r="L162" s="1"/>
    </row>
    <row r="163" spans="4:12" x14ac:dyDescent="0.25">
      <c r="D163" s="64"/>
      <c r="E163" s="1"/>
      <c r="F163" s="24"/>
      <c r="G163" s="64"/>
      <c r="H163" s="1"/>
      <c r="I163" s="1"/>
      <c r="K163" s="48" t="s">
        <v>430</v>
      </c>
      <c r="L163" s="1"/>
    </row>
    <row r="164" spans="4:12" x14ac:dyDescent="0.25">
      <c r="D164" s="64"/>
      <c r="E164" s="1"/>
      <c r="F164" s="24"/>
      <c r="G164" s="64"/>
      <c r="H164" s="1"/>
      <c r="I164" s="1"/>
      <c r="K164" s="48" t="s">
        <v>430</v>
      </c>
      <c r="L164" s="1"/>
    </row>
    <row r="165" spans="4:12" x14ac:dyDescent="0.25">
      <c r="D165" s="64"/>
      <c r="E165" s="1"/>
      <c r="F165" s="24"/>
      <c r="G165" s="64"/>
      <c r="H165" s="1"/>
      <c r="I165" s="1"/>
      <c r="K165" s="48" t="s">
        <v>430</v>
      </c>
      <c r="L165" s="1"/>
    </row>
    <row r="166" spans="4:12" x14ac:dyDescent="0.25">
      <c r="D166" s="64"/>
      <c r="E166" s="1"/>
      <c r="F166" s="24"/>
      <c r="G166" s="64"/>
      <c r="H166" s="1"/>
      <c r="I166" s="1"/>
      <c r="K166" s="48" t="s">
        <v>430</v>
      </c>
      <c r="L166" s="1"/>
    </row>
    <row r="167" spans="4:12" x14ac:dyDescent="0.25">
      <c r="D167" s="64"/>
      <c r="E167" s="1"/>
      <c r="F167" s="24"/>
      <c r="G167" s="64"/>
      <c r="H167" s="1"/>
      <c r="I167" s="1"/>
      <c r="K167" s="48" t="s">
        <v>430</v>
      </c>
      <c r="L167" s="1"/>
    </row>
    <row r="168" spans="4:12" x14ac:dyDescent="0.25">
      <c r="D168" s="64"/>
      <c r="E168" s="1"/>
      <c r="F168" s="24"/>
      <c r="G168" s="64"/>
      <c r="H168" s="1"/>
      <c r="I168" s="1"/>
      <c r="K168" s="48" t="s">
        <v>430</v>
      </c>
      <c r="L168" s="1"/>
    </row>
    <row r="169" spans="4:12" x14ac:dyDescent="0.25">
      <c r="D169" s="64"/>
      <c r="E169" s="1"/>
      <c r="F169" s="24"/>
      <c r="G169" s="64"/>
      <c r="H169" s="1"/>
      <c r="I169" s="1"/>
      <c r="K169" s="48" t="s">
        <v>430</v>
      </c>
      <c r="L169" s="1"/>
    </row>
    <row r="170" spans="4:12" x14ac:dyDescent="0.25">
      <c r="D170" s="64"/>
      <c r="E170" s="1"/>
      <c r="F170" s="24"/>
      <c r="G170" s="64"/>
      <c r="H170" s="1"/>
      <c r="I170" s="1"/>
      <c r="K170" s="48" t="s">
        <v>430</v>
      </c>
      <c r="L170" s="1"/>
    </row>
    <row r="171" spans="4:12" x14ac:dyDescent="0.25">
      <c r="D171" s="64"/>
      <c r="E171" s="1"/>
      <c r="F171" s="24"/>
      <c r="G171" s="64"/>
      <c r="H171" s="1"/>
      <c r="I171" s="1"/>
      <c r="K171" s="48" t="s">
        <v>430</v>
      </c>
      <c r="L171" s="1"/>
    </row>
    <row r="172" spans="4:12" x14ac:dyDescent="0.25">
      <c r="D172" s="64"/>
      <c r="E172" s="1"/>
      <c r="F172" s="24"/>
      <c r="G172" s="64"/>
      <c r="H172" s="1"/>
      <c r="I172" s="1"/>
      <c r="K172" s="48" t="s">
        <v>430</v>
      </c>
      <c r="L172" s="1"/>
    </row>
    <row r="173" spans="4:12" x14ac:dyDescent="0.25">
      <c r="D173" s="64"/>
      <c r="E173" s="1"/>
      <c r="F173" s="24"/>
      <c r="G173" s="64"/>
      <c r="H173" s="1"/>
      <c r="I173" s="1"/>
      <c r="K173" s="48" t="s">
        <v>430</v>
      </c>
      <c r="L173" s="1"/>
    </row>
    <row r="174" spans="4:12" x14ac:dyDescent="0.25">
      <c r="D174" s="64"/>
      <c r="E174" s="1"/>
      <c r="F174" s="24"/>
      <c r="G174" s="64"/>
      <c r="H174" s="1"/>
      <c r="I174" s="1"/>
      <c r="K174" s="48" t="s">
        <v>430</v>
      </c>
      <c r="L174" s="1"/>
    </row>
    <row r="175" spans="4:12" x14ac:dyDescent="0.25">
      <c r="D175" s="64"/>
      <c r="E175" s="1"/>
      <c r="F175" s="24"/>
      <c r="G175" s="64"/>
      <c r="H175" s="1"/>
      <c r="I175" s="1"/>
      <c r="K175" s="48" t="s">
        <v>430</v>
      </c>
      <c r="L175" s="1"/>
    </row>
    <row r="176" spans="4:12" x14ac:dyDescent="0.25">
      <c r="D176" s="64"/>
      <c r="E176" s="1"/>
      <c r="F176" s="24"/>
      <c r="G176" s="64"/>
      <c r="H176" s="1"/>
      <c r="I176" s="1"/>
      <c r="K176" s="48" t="s">
        <v>430</v>
      </c>
      <c r="L176" s="1"/>
    </row>
    <row r="177" spans="4:12" x14ac:dyDescent="0.25">
      <c r="D177" s="64"/>
      <c r="E177" s="1"/>
      <c r="F177" s="24"/>
      <c r="G177" s="64"/>
      <c r="H177" s="1"/>
      <c r="I177" s="1"/>
      <c r="K177" s="48" t="s">
        <v>430</v>
      </c>
      <c r="L177" s="1"/>
    </row>
    <row r="178" spans="4:12" x14ac:dyDescent="0.25">
      <c r="D178" s="64"/>
      <c r="E178" s="1"/>
      <c r="F178" s="24"/>
      <c r="G178" s="64"/>
      <c r="H178" s="1"/>
      <c r="I178" s="1"/>
      <c r="K178" s="48" t="s">
        <v>430</v>
      </c>
      <c r="L178" s="1"/>
    </row>
    <row r="179" spans="4:12" x14ac:dyDescent="0.25">
      <c r="D179" s="64"/>
      <c r="E179" s="1"/>
      <c r="F179" s="24"/>
      <c r="G179" s="64"/>
      <c r="H179" s="1"/>
      <c r="I179" s="1"/>
      <c r="K179" s="48" t="s">
        <v>430</v>
      </c>
      <c r="L179" s="1"/>
    </row>
    <row r="180" spans="4:12" x14ac:dyDescent="0.25">
      <c r="D180" s="64"/>
      <c r="E180" s="1"/>
      <c r="F180" s="24"/>
      <c r="G180" s="64"/>
      <c r="H180" s="1"/>
      <c r="I180" s="1"/>
      <c r="K180" s="48" t="s">
        <v>430</v>
      </c>
      <c r="L180" s="1"/>
    </row>
    <row r="181" spans="4:12" x14ac:dyDescent="0.25">
      <c r="D181" s="64"/>
      <c r="E181" s="1"/>
      <c r="F181" s="24"/>
      <c r="G181" s="64"/>
      <c r="H181" s="1"/>
      <c r="I181" s="1"/>
      <c r="K181" s="48" t="s">
        <v>430</v>
      </c>
      <c r="L181" s="1"/>
    </row>
    <row r="182" spans="4:12" x14ac:dyDescent="0.25">
      <c r="D182" s="64"/>
      <c r="E182" s="1"/>
      <c r="F182" s="24"/>
      <c r="G182" s="64"/>
      <c r="H182" s="1"/>
      <c r="I182" s="1"/>
      <c r="K182" s="48" t="s">
        <v>430</v>
      </c>
      <c r="L182" s="1"/>
    </row>
    <row r="183" spans="4:12" x14ac:dyDescent="0.25">
      <c r="D183" s="64"/>
      <c r="E183" s="1"/>
      <c r="F183" s="24"/>
      <c r="G183" s="64"/>
      <c r="H183" s="1"/>
      <c r="I183" s="1"/>
      <c r="K183" s="48" t="s">
        <v>430</v>
      </c>
      <c r="L183" s="1"/>
    </row>
    <row r="184" spans="4:12" x14ac:dyDescent="0.25">
      <c r="D184" s="64"/>
      <c r="E184" s="1"/>
      <c r="F184" s="24"/>
      <c r="G184" s="64"/>
      <c r="H184" s="1"/>
      <c r="I184" s="1"/>
      <c r="K184" s="48" t="s">
        <v>430</v>
      </c>
      <c r="L184" s="1"/>
    </row>
    <row r="185" spans="4:12" x14ac:dyDescent="0.25">
      <c r="D185" s="64"/>
      <c r="E185" s="1"/>
      <c r="F185" s="24"/>
      <c r="G185" s="64"/>
      <c r="H185" s="1"/>
      <c r="I185" s="1"/>
      <c r="K185" s="48" t="s">
        <v>430</v>
      </c>
      <c r="L185" s="1"/>
    </row>
    <row r="186" spans="4:12" x14ac:dyDescent="0.25">
      <c r="D186" s="64"/>
      <c r="E186" s="1"/>
      <c r="F186" s="24"/>
      <c r="G186" s="64"/>
      <c r="H186" s="1"/>
      <c r="I186" s="1"/>
      <c r="K186" s="48" t="s">
        <v>430</v>
      </c>
      <c r="L186" s="1"/>
    </row>
    <row r="187" spans="4:12" x14ac:dyDescent="0.25">
      <c r="D187" s="64"/>
      <c r="E187" s="1"/>
      <c r="F187" s="24"/>
      <c r="G187" s="64"/>
      <c r="H187" s="1"/>
      <c r="I187" s="1"/>
      <c r="K187" s="48" t="s">
        <v>430</v>
      </c>
      <c r="L187" s="1"/>
    </row>
    <row r="188" spans="4:12" x14ac:dyDescent="0.25">
      <c r="D188" s="64"/>
      <c r="E188" s="1"/>
      <c r="F188" s="24"/>
      <c r="G188" s="64"/>
      <c r="H188" s="1"/>
      <c r="I188" s="1"/>
      <c r="K188" s="48" t="s">
        <v>430</v>
      </c>
      <c r="L188" s="1"/>
    </row>
    <row r="189" spans="4:12" x14ac:dyDescent="0.25">
      <c r="D189" s="64"/>
      <c r="E189" s="1"/>
      <c r="F189" s="24"/>
      <c r="G189" s="64"/>
      <c r="H189" s="1"/>
      <c r="I189" s="1"/>
      <c r="K189" s="48" t="s">
        <v>430</v>
      </c>
      <c r="L189" s="1"/>
    </row>
    <row r="190" spans="4:12" x14ac:dyDescent="0.25">
      <c r="D190" s="64"/>
      <c r="E190" s="1"/>
      <c r="F190" s="24"/>
      <c r="G190" s="64"/>
      <c r="H190" s="1"/>
      <c r="I190" s="1"/>
      <c r="K190" s="48" t="s">
        <v>430</v>
      </c>
      <c r="L190" s="1"/>
    </row>
    <row r="191" spans="4:12" x14ac:dyDescent="0.25">
      <c r="D191" s="64"/>
      <c r="E191" s="1"/>
      <c r="F191" s="24"/>
      <c r="G191" s="64"/>
      <c r="H191" s="1"/>
      <c r="I191" s="1"/>
      <c r="K191" s="48" t="s">
        <v>430</v>
      </c>
      <c r="L191" s="1"/>
    </row>
    <row r="192" spans="4:12" x14ac:dyDescent="0.25">
      <c r="D192" s="64"/>
      <c r="E192" s="1"/>
      <c r="F192" s="24"/>
      <c r="G192" s="64"/>
      <c r="H192" s="1"/>
      <c r="I192" s="1"/>
      <c r="K192" s="48" t="s">
        <v>430</v>
      </c>
      <c r="L192" s="1"/>
    </row>
    <row r="193" spans="4:12" x14ac:dyDescent="0.25">
      <c r="D193" s="64"/>
      <c r="E193" s="1"/>
      <c r="F193" s="24"/>
      <c r="G193" s="64"/>
      <c r="H193" s="1"/>
      <c r="I193" s="1"/>
      <c r="K193" s="48" t="s">
        <v>430</v>
      </c>
      <c r="L193" s="1"/>
    </row>
    <row r="194" spans="4:12" x14ac:dyDescent="0.25">
      <c r="D194" s="64"/>
      <c r="E194" s="1"/>
      <c r="F194" s="24"/>
      <c r="G194" s="64"/>
      <c r="H194" s="1"/>
      <c r="I194" s="1"/>
      <c r="K194" s="48" t="s">
        <v>430</v>
      </c>
      <c r="L194" s="1"/>
    </row>
    <row r="195" spans="4:12" x14ac:dyDescent="0.25">
      <c r="D195" s="64"/>
      <c r="E195" s="1"/>
      <c r="F195" s="24"/>
      <c r="G195" s="64"/>
      <c r="H195" s="1"/>
      <c r="I195" s="1"/>
      <c r="K195" s="48" t="s">
        <v>430</v>
      </c>
      <c r="L195" s="1"/>
    </row>
    <row r="196" spans="4:12" x14ac:dyDescent="0.25">
      <c r="D196" s="64"/>
      <c r="E196" s="1"/>
      <c r="F196" s="24"/>
      <c r="G196" s="64"/>
      <c r="H196" s="1"/>
      <c r="I196" s="1"/>
      <c r="K196" s="48" t="s">
        <v>430</v>
      </c>
      <c r="L196" s="1"/>
    </row>
    <row r="197" spans="4:12" x14ac:dyDescent="0.25">
      <c r="D197" s="64"/>
      <c r="E197" s="1"/>
      <c r="F197" s="24"/>
      <c r="G197" s="64"/>
      <c r="H197" s="1"/>
      <c r="I197" s="1"/>
      <c r="K197" s="48" t="s">
        <v>430</v>
      </c>
      <c r="L197" s="1"/>
    </row>
    <row r="198" spans="4:12" x14ac:dyDescent="0.25">
      <c r="D198" s="64"/>
      <c r="E198" s="1"/>
      <c r="F198" s="24"/>
      <c r="G198" s="64"/>
      <c r="H198" s="1"/>
      <c r="I198" s="1"/>
      <c r="K198" s="48" t="s">
        <v>430</v>
      </c>
      <c r="L198" s="1"/>
    </row>
    <row r="199" spans="4:12" x14ac:dyDescent="0.25">
      <c r="D199" s="64"/>
      <c r="E199" s="1"/>
      <c r="F199" s="24"/>
      <c r="G199" s="64"/>
      <c r="H199" s="1"/>
      <c r="I199" s="1"/>
      <c r="K199" s="48" t="s">
        <v>430</v>
      </c>
      <c r="L199" s="1"/>
    </row>
    <row r="200" spans="4:12" x14ac:dyDescent="0.25">
      <c r="D200" s="64"/>
      <c r="E200" s="1"/>
      <c r="F200" s="24"/>
      <c r="G200" s="64"/>
      <c r="H200" s="1"/>
      <c r="I200" s="1"/>
      <c r="K200" s="48" t="s">
        <v>430</v>
      </c>
      <c r="L200" s="1"/>
    </row>
    <row r="201" spans="4:12" x14ac:dyDescent="0.25">
      <c r="D201" s="64"/>
      <c r="E201" s="1"/>
      <c r="F201" s="24"/>
      <c r="G201" s="64"/>
      <c r="H201" s="1"/>
      <c r="I201" s="1"/>
      <c r="K201" s="48" t="s">
        <v>430</v>
      </c>
      <c r="L201" s="1"/>
    </row>
    <row r="202" spans="4:12" x14ac:dyDescent="0.25">
      <c r="D202" s="64"/>
      <c r="E202" s="1"/>
      <c r="F202" s="24"/>
      <c r="G202" s="64"/>
      <c r="H202" s="1"/>
      <c r="I202" s="1"/>
      <c r="K202" s="48" t="s">
        <v>430</v>
      </c>
      <c r="L202" s="1"/>
    </row>
    <row r="203" spans="4:12" x14ac:dyDescent="0.25">
      <c r="D203" s="64"/>
      <c r="E203" s="1"/>
      <c r="F203" s="24"/>
      <c r="G203" s="64"/>
      <c r="H203" s="1"/>
      <c r="I203" s="1"/>
      <c r="K203" s="48" t="s">
        <v>430</v>
      </c>
      <c r="L203" s="1"/>
    </row>
    <row r="204" spans="4:12" x14ac:dyDescent="0.25">
      <c r="D204" s="64"/>
      <c r="E204" s="1"/>
      <c r="F204" s="24"/>
      <c r="G204" s="64"/>
      <c r="H204" s="1"/>
      <c r="I204" s="1"/>
      <c r="K204" s="48" t="s">
        <v>430</v>
      </c>
      <c r="L204" s="1"/>
    </row>
    <row r="205" spans="4:12" x14ac:dyDescent="0.25">
      <c r="D205" s="64"/>
      <c r="E205" s="1"/>
      <c r="F205" s="24"/>
      <c r="G205" s="64"/>
      <c r="H205" s="1"/>
      <c r="I205" s="1"/>
      <c r="K205" s="48" t="s">
        <v>430</v>
      </c>
      <c r="L205" s="1"/>
    </row>
    <row r="206" spans="4:12" x14ac:dyDescent="0.25">
      <c r="D206" s="64"/>
      <c r="E206" s="1"/>
      <c r="F206" s="24"/>
      <c r="G206" s="64"/>
      <c r="H206" s="1"/>
      <c r="I206" s="1"/>
      <c r="K206" s="48" t="s">
        <v>430</v>
      </c>
      <c r="L206" s="1"/>
    </row>
    <row r="207" spans="4:12" x14ac:dyDescent="0.25">
      <c r="D207" s="64"/>
      <c r="E207" s="1"/>
      <c r="F207" s="24"/>
      <c r="G207" s="64"/>
      <c r="H207" s="1"/>
      <c r="I207" s="1"/>
      <c r="K207" s="48" t="s">
        <v>430</v>
      </c>
      <c r="L207" s="1"/>
    </row>
    <row r="208" spans="4:12" x14ac:dyDescent="0.25">
      <c r="D208" s="64"/>
      <c r="E208" s="1"/>
      <c r="F208" s="24"/>
      <c r="G208" s="64"/>
      <c r="H208" s="1"/>
      <c r="I208" s="1"/>
      <c r="K208" s="48" t="s">
        <v>430</v>
      </c>
      <c r="L208" s="1"/>
    </row>
    <row r="209" spans="4:12" x14ac:dyDescent="0.25">
      <c r="D209" s="64"/>
      <c r="E209" s="1"/>
      <c r="F209" s="24"/>
      <c r="G209" s="64"/>
      <c r="H209" s="1"/>
      <c r="I209" s="1"/>
      <c r="K209" s="48" t="s">
        <v>430</v>
      </c>
      <c r="L209" s="1"/>
    </row>
    <row r="210" spans="4:12" x14ac:dyDescent="0.25">
      <c r="D210" s="64"/>
      <c r="E210" s="1"/>
      <c r="F210" s="24"/>
      <c r="G210" s="64"/>
      <c r="H210" s="1"/>
      <c r="I210" s="1"/>
      <c r="K210" s="48" t="s">
        <v>430</v>
      </c>
      <c r="L210" s="1"/>
    </row>
    <row r="211" spans="4:12" x14ac:dyDescent="0.25">
      <c r="D211" s="64"/>
      <c r="E211" s="1"/>
      <c r="F211" s="24"/>
      <c r="G211" s="64"/>
      <c r="H211" s="1"/>
      <c r="I211" s="1"/>
      <c r="K211" s="48" t="s">
        <v>430</v>
      </c>
      <c r="L211" s="1"/>
    </row>
    <row r="212" spans="4:12" x14ac:dyDescent="0.25">
      <c r="D212" s="64"/>
      <c r="E212" s="1"/>
      <c r="F212" s="24"/>
      <c r="G212" s="64"/>
      <c r="H212" s="1"/>
      <c r="I212" s="1"/>
      <c r="K212" s="48" t="s">
        <v>430</v>
      </c>
      <c r="L212" s="1"/>
    </row>
    <row r="213" spans="4:12" x14ac:dyDescent="0.25">
      <c r="D213" s="64"/>
      <c r="E213" s="1"/>
      <c r="F213" s="24"/>
      <c r="G213" s="64"/>
      <c r="H213" s="1"/>
      <c r="I213" s="1"/>
      <c r="K213" s="48" t="s">
        <v>430</v>
      </c>
      <c r="L213" s="1"/>
    </row>
    <row r="214" spans="4:12" x14ac:dyDescent="0.25">
      <c r="D214" s="64"/>
      <c r="E214" s="1"/>
      <c r="F214" s="24"/>
      <c r="G214" s="64"/>
      <c r="H214" s="1"/>
      <c r="I214" s="1"/>
      <c r="K214" s="48" t="s">
        <v>430</v>
      </c>
      <c r="L214" s="1"/>
    </row>
    <row r="215" spans="4:12" x14ac:dyDescent="0.25">
      <c r="D215" s="64"/>
      <c r="E215" s="1"/>
      <c r="F215" s="24"/>
      <c r="G215" s="64"/>
      <c r="H215" s="1"/>
      <c r="I215" s="1"/>
      <c r="K215" s="48" t="s">
        <v>430</v>
      </c>
      <c r="L215" s="1"/>
    </row>
    <row r="216" spans="4:12" x14ac:dyDescent="0.25">
      <c r="D216" s="64"/>
      <c r="E216" s="1"/>
      <c r="F216" s="24"/>
      <c r="G216" s="64"/>
      <c r="H216" s="1"/>
      <c r="I216" s="1"/>
      <c r="K216" s="48" t="s">
        <v>430</v>
      </c>
      <c r="L216" s="1"/>
    </row>
    <row r="217" spans="4:12" x14ac:dyDescent="0.25">
      <c r="D217" s="64"/>
      <c r="E217" s="1"/>
      <c r="F217" s="24"/>
      <c r="G217" s="64"/>
      <c r="H217" s="1"/>
      <c r="I217" s="1"/>
      <c r="K217" s="48" t="s">
        <v>430</v>
      </c>
      <c r="L217" s="1"/>
    </row>
    <row r="218" spans="4:12" x14ac:dyDescent="0.25">
      <c r="D218" s="64"/>
      <c r="E218" s="1"/>
      <c r="F218" s="24"/>
      <c r="G218" s="64"/>
      <c r="H218" s="1"/>
      <c r="I218" s="1"/>
      <c r="K218" s="48" t="s">
        <v>430</v>
      </c>
      <c r="L218" s="1"/>
    </row>
    <row r="219" spans="4:12" x14ac:dyDescent="0.25">
      <c r="D219" s="64"/>
      <c r="E219" s="1"/>
      <c r="F219" s="24"/>
      <c r="G219" s="64"/>
      <c r="H219" s="1"/>
      <c r="I219" s="1"/>
      <c r="K219" s="48" t="s">
        <v>430</v>
      </c>
      <c r="L219" s="1"/>
    </row>
    <row r="220" spans="4:12" x14ac:dyDescent="0.25">
      <c r="D220" s="64"/>
      <c r="E220" s="1"/>
      <c r="F220" s="24"/>
      <c r="G220" s="64"/>
      <c r="H220" s="1"/>
      <c r="I220" s="1"/>
      <c r="K220" s="48" t="s">
        <v>430</v>
      </c>
      <c r="L220" s="1"/>
    </row>
    <row r="221" spans="4:12" x14ac:dyDescent="0.25">
      <c r="D221" s="64"/>
      <c r="E221" s="1"/>
      <c r="F221" s="24"/>
      <c r="G221" s="64"/>
      <c r="H221" s="1"/>
      <c r="I221" s="1"/>
      <c r="K221" s="48" t="s">
        <v>430</v>
      </c>
      <c r="L221" s="1"/>
    </row>
    <row r="222" spans="4:12" x14ac:dyDescent="0.25">
      <c r="D222" s="64"/>
      <c r="E222" s="1"/>
      <c r="F222" s="24"/>
      <c r="G222" s="64"/>
      <c r="H222" s="1"/>
      <c r="I222" s="1"/>
      <c r="K222" s="48" t="s">
        <v>430</v>
      </c>
      <c r="L222" s="1"/>
    </row>
    <row r="223" spans="4:12" x14ac:dyDescent="0.25">
      <c r="D223" s="64"/>
      <c r="E223" s="1"/>
      <c r="F223" s="24"/>
      <c r="G223" s="64"/>
      <c r="H223" s="1"/>
      <c r="I223" s="1"/>
      <c r="K223" s="48" t="s">
        <v>430</v>
      </c>
      <c r="L223" s="1"/>
    </row>
    <row r="224" spans="4:12" x14ac:dyDescent="0.25">
      <c r="D224" s="64"/>
      <c r="E224" s="1"/>
      <c r="F224" s="24"/>
      <c r="G224" s="64"/>
      <c r="H224" s="1"/>
      <c r="I224" s="1"/>
      <c r="K224" s="48" t="s">
        <v>430</v>
      </c>
      <c r="L224" s="1"/>
    </row>
    <row r="225" spans="4:12" x14ac:dyDescent="0.25">
      <c r="D225" s="64"/>
      <c r="E225" s="1"/>
      <c r="F225" s="24"/>
      <c r="G225" s="64"/>
      <c r="H225" s="1"/>
      <c r="I225" s="1"/>
      <c r="K225" s="48" t="s">
        <v>430</v>
      </c>
      <c r="L225" s="1"/>
    </row>
    <row r="226" spans="4:12" x14ac:dyDescent="0.25">
      <c r="D226" s="64"/>
      <c r="E226" s="1"/>
      <c r="F226" s="24"/>
      <c r="G226" s="64"/>
      <c r="H226" s="1"/>
      <c r="I226" s="1"/>
      <c r="K226" s="48" t="s">
        <v>430</v>
      </c>
      <c r="L226" s="1"/>
    </row>
    <row r="227" spans="4:12" x14ac:dyDescent="0.25">
      <c r="D227" s="64"/>
      <c r="E227" s="1"/>
      <c r="F227" s="24"/>
      <c r="G227" s="64"/>
      <c r="H227" s="1"/>
      <c r="I227" s="1"/>
      <c r="K227" s="48" t="s">
        <v>430</v>
      </c>
      <c r="L227" s="1"/>
    </row>
    <row r="228" spans="4:12" x14ac:dyDescent="0.25">
      <c r="D228" s="64"/>
      <c r="E228" s="1"/>
      <c r="F228" s="24"/>
      <c r="G228" s="64"/>
      <c r="H228" s="1"/>
      <c r="I228" s="1"/>
      <c r="K228" s="48" t="s">
        <v>430</v>
      </c>
      <c r="L228" s="1"/>
    </row>
    <row r="229" spans="4:12" x14ac:dyDescent="0.25">
      <c r="D229" s="64"/>
      <c r="E229" s="1"/>
      <c r="F229" s="24"/>
      <c r="G229" s="64"/>
      <c r="H229" s="1"/>
      <c r="I229" s="1"/>
      <c r="K229" s="48" t="s">
        <v>430</v>
      </c>
      <c r="L229" s="1"/>
    </row>
    <row r="230" spans="4:12" x14ac:dyDescent="0.25">
      <c r="D230" s="64"/>
      <c r="E230" s="1"/>
      <c r="F230" s="24"/>
      <c r="G230" s="64"/>
      <c r="H230" s="1"/>
      <c r="I230" s="1"/>
      <c r="K230" s="48" t="s">
        <v>430</v>
      </c>
      <c r="L230" s="1"/>
    </row>
    <row r="231" spans="4:12" x14ac:dyDescent="0.25">
      <c r="D231" s="64"/>
      <c r="E231" s="1"/>
      <c r="F231" s="24"/>
      <c r="G231" s="64"/>
      <c r="H231" s="1"/>
      <c r="I231" s="1"/>
      <c r="K231" s="48" t="s">
        <v>430</v>
      </c>
      <c r="L231" s="1"/>
    </row>
    <row r="232" spans="4:12" x14ac:dyDescent="0.25">
      <c r="D232" s="64"/>
      <c r="E232" s="1"/>
      <c r="F232" s="24"/>
      <c r="G232" s="64"/>
      <c r="H232" s="1"/>
      <c r="I232" s="1"/>
      <c r="K232" s="48" t="s">
        <v>430</v>
      </c>
      <c r="L232" s="1"/>
    </row>
    <row r="233" spans="4:12" x14ac:dyDescent="0.25">
      <c r="D233" s="64"/>
      <c r="E233" s="1"/>
      <c r="F233" s="24"/>
      <c r="G233" s="64"/>
      <c r="H233" s="1"/>
      <c r="I233" s="1"/>
      <c r="K233" s="48" t="s">
        <v>430</v>
      </c>
      <c r="L233" s="1"/>
    </row>
    <row r="234" spans="4:12" x14ac:dyDescent="0.25">
      <c r="D234" s="64"/>
      <c r="E234" s="1"/>
      <c r="F234" s="24"/>
      <c r="G234" s="64"/>
      <c r="H234" s="1"/>
      <c r="I234" s="1"/>
      <c r="K234" s="48" t="s">
        <v>430</v>
      </c>
      <c r="L234" s="1"/>
    </row>
    <row r="235" spans="4:12" x14ac:dyDescent="0.25">
      <c r="D235" s="64"/>
      <c r="E235" s="1"/>
      <c r="F235" s="24"/>
      <c r="G235" s="64"/>
      <c r="H235" s="1"/>
      <c r="I235" s="1"/>
      <c r="K235" s="48" t="s">
        <v>430</v>
      </c>
      <c r="L235" s="1"/>
    </row>
    <row r="236" spans="4:12" x14ac:dyDescent="0.25">
      <c r="D236" s="64"/>
      <c r="E236" s="1"/>
      <c r="F236" s="24"/>
      <c r="G236" s="64"/>
      <c r="H236" s="1"/>
      <c r="I236" s="1"/>
      <c r="K236" s="48" t="s">
        <v>430</v>
      </c>
      <c r="L236" s="1"/>
    </row>
    <row r="237" spans="4:12" x14ac:dyDescent="0.25">
      <c r="D237" s="64"/>
      <c r="E237" s="1"/>
      <c r="F237" s="24"/>
      <c r="G237" s="64"/>
      <c r="H237" s="1"/>
      <c r="I237" s="1"/>
      <c r="K237" s="48" t="s">
        <v>430</v>
      </c>
      <c r="L237" s="1"/>
    </row>
    <row r="238" spans="4:12" x14ac:dyDescent="0.25">
      <c r="D238" s="64"/>
      <c r="E238" s="1"/>
      <c r="F238" s="24"/>
      <c r="G238" s="64"/>
      <c r="H238" s="1"/>
      <c r="I238" s="1"/>
      <c r="K238" s="48" t="s">
        <v>430</v>
      </c>
      <c r="L238" s="1"/>
    </row>
    <row r="239" spans="4:12" x14ac:dyDescent="0.25">
      <c r="D239" s="64"/>
      <c r="E239" s="1"/>
      <c r="F239" s="24"/>
      <c r="G239" s="64"/>
      <c r="H239" s="1"/>
      <c r="I239" s="1"/>
      <c r="K239" s="48" t="s">
        <v>430</v>
      </c>
      <c r="L239" s="1"/>
    </row>
    <row r="240" spans="4:12" x14ac:dyDescent="0.25">
      <c r="D240" s="64"/>
      <c r="E240" s="1"/>
      <c r="F240" s="24"/>
      <c r="G240" s="64"/>
      <c r="H240" s="1"/>
      <c r="I240" s="1"/>
      <c r="K240" s="48" t="s">
        <v>430</v>
      </c>
      <c r="L240" s="1"/>
    </row>
    <row r="241" spans="4:12" x14ac:dyDescent="0.25">
      <c r="D241" s="64"/>
      <c r="E241" s="1"/>
      <c r="F241" s="24"/>
      <c r="G241" s="64"/>
      <c r="H241" s="1"/>
      <c r="I241" s="1"/>
      <c r="K241" s="48" t="s">
        <v>430</v>
      </c>
      <c r="L241" s="1"/>
    </row>
    <row r="242" spans="4:12" x14ac:dyDescent="0.25">
      <c r="D242" s="64"/>
      <c r="E242" s="1"/>
      <c r="F242" s="24"/>
      <c r="G242" s="64"/>
      <c r="H242" s="1"/>
      <c r="I242" s="1"/>
      <c r="K242" s="48" t="s">
        <v>430</v>
      </c>
      <c r="L242" s="1"/>
    </row>
    <row r="243" spans="4:12" x14ac:dyDescent="0.25">
      <c r="D243" s="64"/>
      <c r="E243" s="1"/>
      <c r="F243" s="24"/>
      <c r="G243" s="64"/>
      <c r="H243" s="1"/>
      <c r="I243" s="1"/>
      <c r="K243" s="48" t="s">
        <v>430</v>
      </c>
      <c r="L243" s="1"/>
    </row>
    <row r="244" spans="4:12" x14ac:dyDescent="0.25">
      <c r="D244" s="64"/>
      <c r="E244" s="1"/>
      <c r="F244" s="24"/>
      <c r="G244" s="64"/>
      <c r="H244" s="1"/>
      <c r="I244" s="1"/>
      <c r="K244" s="48" t="s">
        <v>430</v>
      </c>
      <c r="L244" s="1"/>
    </row>
    <row r="245" spans="4:12" x14ac:dyDescent="0.25">
      <c r="D245" s="64"/>
      <c r="E245" s="1"/>
      <c r="F245" s="24"/>
      <c r="G245" s="64"/>
      <c r="H245" s="1"/>
      <c r="I245" s="1"/>
      <c r="K245" s="48" t="s">
        <v>430</v>
      </c>
      <c r="L245" s="1"/>
    </row>
    <row r="246" spans="4:12" x14ac:dyDescent="0.25">
      <c r="D246" s="64"/>
      <c r="E246" s="1"/>
      <c r="F246" s="24"/>
      <c r="G246" s="64"/>
      <c r="H246" s="1"/>
      <c r="I246" s="1"/>
      <c r="K246" s="48" t="s">
        <v>430</v>
      </c>
      <c r="L246" s="1"/>
    </row>
    <row r="247" spans="4:12" x14ac:dyDescent="0.25">
      <c r="D247" s="64"/>
      <c r="E247" s="1"/>
      <c r="F247" s="24"/>
      <c r="G247" s="64"/>
      <c r="H247" s="1"/>
      <c r="I247" s="1"/>
      <c r="K247" s="48" t="s">
        <v>430</v>
      </c>
      <c r="L247" s="1"/>
    </row>
    <row r="248" spans="4:12" x14ac:dyDescent="0.25">
      <c r="D248" s="64"/>
      <c r="E248" s="1"/>
      <c r="F248" s="24"/>
      <c r="G248" s="64"/>
      <c r="H248" s="1"/>
      <c r="I248" s="1"/>
      <c r="K248" s="48" t="s">
        <v>430</v>
      </c>
      <c r="L248" s="1"/>
    </row>
    <row r="249" spans="4:12" x14ac:dyDescent="0.25">
      <c r="D249" s="64"/>
      <c r="E249" s="1"/>
      <c r="F249" s="24"/>
      <c r="G249" s="64"/>
      <c r="H249" s="1"/>
      <c r="I249" s="1"/>
      <c r="K249" s="48" t="s">
        <v>430</v>
      </c>
      <c r="L249" s="1"/>
    </row>
    <row r="250" spans="4:12" x14ac:dyDescent="0.25">
      <c r="D250" s="64"/>
      <c r="E250" s="1"/>
      <c r="F250" s="24"/>
      <c r="G250" s="64"/>
      <c r="H250" s="1"/>
      <c r="I250" s="1"/>
      <c r="K250" s="48" t="s">
        <v>430</v>
      </c>
      <c r="L250" s="1"/>
    </row>
    <row r="251" spans="4:12" x14ac:dyDescent="0.25">
      <c r="D251" s="64"/>
      <c r="E251" s="1"/>
      <c r="F251" s="24"/>
      <c r="G251" s="64"/>
      <c r="H251" s="1"/>
      <c r="I251" s="1"/>
      <c r="K251" s="48" t="s">
        <v>430</v>
      </c>
      <c r="L251" s="1"/>
    </row>
    <row r="252" spans="4:12" x14ac:dyDescent="0.25">
      <c r="D252" s="64"/>
      <c r="E252" s="1"/>
      <c r="F252" s="24"/>
      <c r="G252" s="64"/>
      <c r="H252" s="1"/>
      <c r="I252" s="1"/>
      <c r="K252" s="48" t="s">
        <v>430</v>
      </c>
      <c r="L252" s="1"/>
    </row>
    <row r="253" spans="4:12" x14ac:dyDescent="0.25">
      <c r="D253" s="64"/>
      <c r="E253" s="1"/>
      <c r="F253" s="24"/>
      <c r="G253" s="64"/>
      <c r="H253" s="1"/>
      <c r="I253" s="1"/>
      <c r="K253" s="48" t="s">
        <v>430</v>
      </c>
      <c r="L253" s="1"/>
    </row>
    <row r="254" spans="4:12" x14ac:dyDescent="0.25">
      <c r="D254" s="64"/>
      <c r="E254" s="1"/>
      <c r="F254" s="24"/>
      <c r="G254" s="64"/>
      <c r="H254" s="1"/>
      <c r="I254" s="1"/>
      <c r="K254" s="48" t="s">
        <v>430</v>
      </c>
      <c r="L254" s="1"/>
    </row>
    <row r="255" spans="4:12" x14ac:dyDescent="0.25">
      <c r="D255" s="64"/>
      <c r="E255" s="1"/>
      <c r="F255" s="24"/>
      <c r="G255" s="64"/>
      <c r="H255" s="1"/>
      <c r="I255" s="1"/>
      <c r="K255" s="48" t="s">
        <v>430</v>
      </c>
      <c r="L255" s="1"/>
    </row>
    <row r="256" spans="4:12" x14ac:dyDescent="0.25">
      <c r="D256" s="64"/>
      <c r="E256" s="1"/>
      <c r="F256" s="24"/>
      <c r="G256" s="64"/>
      <c r="H256" s="1"/>
      <c r="I256" s="1"/>
      <c r="K256" s="48" t="s">
        <v>430</v>
      </c>
      <c r="L256" s="1"/>
    </row>
    <row r="257" spans="4:12" x14ac:dyDescent="0.25">
      <c r="D257" s="64"/>
      <c r="E257" s="1"/>
      <c r="F257" s="24"/>
      <c r="G257" s="64"/>
      <c r="H257" s="1"/>
      <c r="I257" s="1"/>
      <c r="K257" s="48" t="s">
        <v>430</v>
      </c>
      <c r="L257" s="1"/>
    </row>
    <row r="258" spans="4:12" x14ac:dyDescent="0.25">
      <c r="D258" s="64"/>
      <c r="E258" s="1"/>
      <c r="F258" s="24"/>
      <c r="G258" s="64"/>
      <c r="H258" s="1"/>
      <c r="I258" s="1"/>
      <c r="K258" s="48" t="s">
        <v>430</v>
      </c>
      <c r="L258" s="1"/>
    </row>
    <row r="259" spans="4:12" x14ac:dyDescent="0.25">
      <c r="D259" s="64"/>
      <c r="E259" s="1"/>
      <c r="F259" s="24"/>
      <c r="G259" s="64"/>
      <c r="H259" s="1"/>
      <c r="I259" s="1"/>
      <c r="K259" s="48" t="s">
        <v>430</v>
      </c>
      <c r="L259" s="1"/>
    </row>
    <row r="260" spans="4:12" x14ac:dyDescent="0.25">
      <c r="D260" s="64"/>
      <c r="E260" s="1"/>
      <c r="F260" s="24"/>
      <c r="G260" s="64"/>
      <c r="H260" s="1"/>
      <c r="I260" s="1"/>
      <c r="K260" s="48" t="s">
        <v>430</v>
      </c>
      <c r="L260" s="1"/>
    </row>
    <row r="261" spans="4:12" x14ac:dyDescent="0.25">
      <c r="D261" s="64"/>
      <c r="E261" s="1"/>
      <c r="F261" s="24"/>
      <c r="G261" s="64"/>
      <c r="H261" s="1"/>
      <c r="I261" s="1"/>
      <c r="K261" s="48" t="s">
        <v>430</v>
      </c>
      <c r="L261" s="1"/>
    </row>
    <row r="262" spans="4:12" x14ac:dyDescent="0.25">
      <c r="D262" s="64"/>
      <c r="E262" s="1"/>
      <c r="F262" s="24"/>
      <c r="G262" s="64"/>
      <c r="H262" s="1"/>
      <c r="I262" s="1"/>
      <c r="K262" s="48" t="s">
        <v>430</v>
      </c>
      <c r="L262" s="1"/>
    </row>
    <row r="263" spans="4:12" x14ac:dyDescent="0.25">
      <c r="D263" s="64"/>
      <c r="E263" s="1"/>
      <c r="F263" s="24"/>
      <c r="G263" s="64"/>
      <c r="H263" s="1"/>
      <c r="I263" s="1"/>
      <c r="K263" s="48" t="s">
        <v>430</v>
      </c>
      <c r="L263" s="1"/>
    </row>
    <row r="264" spans="4:12" x14ac:dyDescent="0.25">
      <c r="D264" s="64"/>
      <c r="E264" s="1"/>
      <c r="F264" s="24"/>
      <c r="G264" s="64"/>
      <c r="H264" s="1"/>
      <c r="I264" s="1"/>
      <c r="K264" s="48" t="s">
        <v>430</v>
      </c>
      <c r="L264" s="1"/>
    </row>
    <row r="265" spans="4:12" x14ac:dyDescent="0.25">
      <c r="D265" s="64"/>
      <c r="E265" s="1"/>
      <c r="F265" s="24"/>
      <c r="G265" s="64"/>
      <c r="H265" s="1"/>
      <c r="I265" s="1"/>
      <c r="K265" s="48" t="s">
        <v>430</v>
      </c>
      <c r="L265" s="1"/>
    </row>
    <row r="266" spans="4:12" x14ac:dyDescent="0.25">
      <c r="D266" s="64"/>
      <c r="E266" s="1"/>
      <c r="F266" s="24"/>
      <c r="G266" s="64"/>
      <c r="H266" s="1"/>
      <c r="I266" s="1"/>
      <c r="K266" s="48" t="s">
        <v>430</v>
      </c>
      <c r="L266" s="1"/>
    </row>
    <row r="267" spans="4:12" x14ac:dyDescent="0.25">
      <c r="D267" s="64"/>
      <c r="E267" s="1"/>
      <c r="F267" s="24"/>
      <c r="G267" s="64"/>
      <c r="H267" s="1"/>
      <c r="I267" s="1"/>
      <c r="K267" s="48" t="s">
        <v>430</v>
      </c>
      <c r="L267" s="1"/>
    </row>
    <row r="268" spans="4:12" x14ac:dyDescent="0.25">
      <c r="D268" s="64"/>
      <c r="E268" s="1"/>
      <c r="F268" s="24"/>
      <c r="G268" s="64"/>
      <c r="H268" s="1"/>
      <c r="I268" s="1"/>
      <c r="K268" s="48" t="s">
        <v>430</v>
      </c>
      <c r="L268" s="1"/>
    </row>
    <row r="269" spans="4:12" x14ac:dyDescent="0.25">
      <c r="D269" s="64"/>
      <c r="E269" s="1"/>
      <c r="F269" s="24"/>
      <c r="G269" s="64"/>
      <c r="H269" s="1"/>
      <c r="I269" s="1"/>
      <c r="K269" s="48" t="s">
        <v>430</v>
      </c>
      <c r="L269" s="1"/>
    </row>
    <row r="270" spans="4:12" x14ac:dyDescent="0.25">
      <c r="D270" s="64"/>
      <c r="E270" s="1"/>
      <c r="F270" s="24"/>
      <c r="G270" s="64"/>
      <c r="H270" s="1"/>
      <c r="I270" s="1"/>
      <c r="K270" s="48" t="s">
        <v>430</v>
      </c>
      <c r="L270" s="1"/>
    </row>
    <row r="271" spans="4:12" x14ac:dyDescent="0.25">
      <c r="D271" s="64"/>
      <c r="E271" s="1"/>
      <c r="F271" s="24"/>
      <c r="G271" s="64"/>
      <c r="H271" s="1"/>
      <c r="I271" s="1"/>
      <c r="K271" s="48" t="s">
        <v>430</v>
      </c>
      <c r="L271" s="1"/>
    </row>
    <row r="272" spans="4:12" x14ac:dyDescent="0.25">
      <c r="D272" s="64"/>
      <c r="E272" s="1"/>
      <c r="F272" s="24"/>
      <c r="G272" s="64"/>
      <c r="H272" s="1"/>
      <c r="I272" s="1"/>
      <c r="K272" s="48" t="s">
        <v>430</v>
      </c>
      <c r="L272" s="1"/>
    </row>
    <row r="273" spans="4:12" x14ac:dyDescent="0.25">
      <c r="D273" s="64"/>
      <c r="E273" s="1"/>
      <c r="F273" s="24"/>
      <c r="G273" s="64"/>
      <c r="H273" s="1"/>
      <c r="I273" s="1"/>
      <c r="K273" s="48" t="s">
        <v>430</v>
      </c>
      <c r="L273" s="1"/>
    </row>
    <row r="274" spans="4:12" x14ac:dyDescent="0.25">
      <c r="D274" s="64"/>
      <c r="E274" s="1"/>
      <c r="F274" s="24"/>
      <c r="G274" s="64"/>
      <c r="H274" s="1"/>
      <c r="I274" s="1"/>
      <c r="K274" s="48" t="s">
        <v>430</v>
      </c>
      <c r="L274" s="1"/>
    </row>
    <row r="275" spans="4:12" x14ac:dyDescent="0.25">
      <c r="D275" s="64"/>
      <c r="E275" s="1"/>
      <c r="F275" s="24"/>
      <c r="G275" s="64"/>
      <c r="H275" s="1"/>
      <c r="I275" s="1"/>
      <c r="K275" s="48" t="s">
        <v>430</v>
      </c>
      <c r="L275" s="1"/>
    </row>
    <row r="276" spans="4:12" x14ac:dyDescent="0.25">
      <c r="D276" s="64"/>
      <c r="E276" s="1"/>
      <c r="F276" s="24"/>
      <c r="G276" s="64"/>
      <c r="H276" s="1"/>
      <c r="I276" s="1"/>
      <c r="K276" s="48" t="s">
        <v>430</v>
      </c>
      <c r="L276" s="1"/>
    </row>
    <row r="277" spans="4:12" x14ac:dyDescent="0.25">
      <c r="D277" s="64"/>
      <c r="E277" s="1"/>
      <c r="F277" s="24"/>
      <c r="G277" s="64"/>
      <c r="H277" s="1"/>
      <c r="I277" s="1"/>
      <c r="K277" s="48" t="s">
        <v>430</v>
      </c>
      <c r="L277" s="1"/>
    </row>
    <row r="278" spans="4:12" x14ac:dyDescent="0.25">
      <c r="D278" s="64"/>
      <c r="E278" s="1"/>
      <c r="F278" s="24"/>
      <c r="G278" s="64"/>
      <c r="H278" s="1"/>
      <c r="I278" s="1"/>
      <c r="K278" s="48" t="s">
        <v>430</v>
      </c>
      <c r="L278" s="1"/>
    </row>
    <row r="279" spans="4:12" x14ac:dyDescent="0.25">
      <c r="D279" s="64"/>
      <c r="E279" s="1"/>
      <c r="F279" s="24"/>
      <c r="G279" s="64"/>
      <c r="H279" s="1"/>
      <c r="I279" s="1"/>
      <c r="K279" s="48" t="s">
        <v>430</v>
      </c>
      <c r="L279" s="1"/>
    </row>
    <row r="280" spans="4:12" x14ac:dyDescent="0.25">
      <c r="D280" s="64"/>
      <c r="E280" s="1"/>
      <c r="F280" s="24"/>
      <c r="G280" s="64"/>
      <c r="H280" s="1"/>
      <c r="I280" s="1"/>
      <c r="K280" s="48" t="s">
        <v>430</v>
      </c>
      <c r="L280" s="1"/>
    </row>
    <row r="281" spans="4:12" x14ac:dyDescent="0.25">
      <c r="D281" s="64"/>
      <c r="E281" s="1"/>
      <c r="F281" s="24"/>
      <c r="G281" s="64"/>
      <c r="H281" s="1"/>
      <c r="I281" s="1"/>
      <c r="K281" s="48" t="s">
        <v>430</v>
      </c>
      <c r="L281" s="1"/>
    </row>
    <row r="282" spans="4:12" x14ac:dyDescent="0.25">
      <c r="D282" s="64"/>
      <c r="E282" s="1"/>
      <c r="F282" s="24"/>
      <c r="G282" s="64"/>
      <c r="H282" s="1"/>
      <c r="I282" s="1"/>
      <c r="K282" s="48" t="s">
        <v>430</v>
      </c>
      <c r="L282" s="1"/>
    </row>
    <row r="283" spans="4:12" x14ac:dyDescent="0.25">
      <c r="D283" s="64"/>
      <c r="E283" s="1"/>
      <c r="F283" s="24"/>
      <c r="G283" s="64"/>
      <c r="H283" s="1"/>
      <c r="I283" s="1"/>
      <c r="K283" s="48" t="s">
        <v>430</v>
      </c>
      <c r="L283" s="1"/>
    </row>
    <row r="284" spans="4:12" x14ac:dyDescent="0.25">
      <c r="D284" s="64"/>
      <c r="E284" s="1"/>
      <c r="F284" s="24"/>
      <c r="G284" s="64"/>
      <c r="H284" s="1"/>
      <c r="I284" s="1"/>
      <c r="K284" s="48" t="s">
        <v>430</v>
      </c>
      <c r="L284" s="1"/>
    </row>
    <row r="285" spans="4:12" x14ac:dyDescent="0.25">
      <c r="D285" s="64"/>
      <c r="E285" s="1"/>
      <c r="F285" s="24"/>
      <c r="G285" s="64"/>
      <c r="H285" s="1"/>
      <c r="I285" s="1"/>
      <c r="K285" s="48" t="s">
        <v>430</v>
      </c>
      <c r="L285" s="1"/>
    </row>
    <row r="286" spans="4:12" x14ac:dyDescent="0.25">
      <c r="D286" s="64"/>
      <c r="E286" s="1"/>
      <c r="F286" s="24"/>
      <c r="G286" s="64"/>
      <c r="H286" s="1"/>
      <c r="I286" s="1"/>
      <c r="K286" s="48" t="s">
        <v>430</v>
      </c>
      <c r="L286" s="1"/>
    </row>
    <row r="287" spans="4:12" x14ac:dyDescent="0.25">
      <c r="D287" s="64"/>
      <c r="E287" s="1"/>
      <c r="F287" s="24"/>
      <c r="G287" s="64"/>
      <c r="H287" s="1"/>
      <c r="I287" s="1"/>
      <c r="K287" s="48" t="s">
        <v>430</v>
      </c>
      <c r="L287" s="1"/>
    </row>
    <row r="288" spans="4:12" x14ac:dyDescent="0.25">
      <c r="D288" s="64"/>
      <c r="E288" s="1"/>
      <c r="F288" s="24"/>
      <c r="G288" s="64"/>
      <c r="H288" s="1"/>
      <c r="I288" s="1"/>
      <c r="K288" s="48" t="s">
        <v>430</v>
      </c>
      <c r="L288" s="1"/>
    </row>
    <row r="289" spans="4:12" x14ac:dyDescent="0.25">
      <c r="D289" s="64"/>
      <c r="E289" s="1"/>
      <c r="F289" s="24"/>
      <c r="G289" s="64"/>
      <c r="H289" s="1"/>
      <c r="I289" s="1"/>
      <c r="K289" s="48" t="s">
        <v>430</v>
      </c>
      <c r="L289" s="1"/>
    </row>
    <row r="290" spans="4:12" x14ac:dyDescent="0.25">
      <c r="D290" s="64"/>
      <c r="E290" s="1"/>
      <c r="F290" s="24"/>
      <c r="G290" s="64"/>
      <c r="H290" s="1"/>
      <c r="I290" s="1"/>
      <c r="K290" s="48" t="s">
        <v>430</v>
      </c>
      <c r="L290" s="1"/>
    </row>
    <row r="291" spans="4:12" x14ac:dyDescent="0.25">
      <c r="D291" s="64"/>
      <c r="E291" s="1"/>
      <c r="F291" s="24"/>
      <c r="G291" s="64"/>
      <c r="H291" s="1"/>
      <c r="I291" s="1"/>
      <c r="K291" s="48" t="s">
        <v>430</v>
      </c>
      <c r="L291" s="1"/>
    </row>
    <row r="292" spans="4:12" x14ac:dyDescent="0.25">
      <c r="D292" s="64"/>
      <c r="E292" s="1"/>
      <c r="F292" s="24"/>
      <c r="G292" s="64"/>
      <c r="H292" s="1"/>
      <c r="I292" s="1"/>
      <c r="K292" s="48" t="s">
        <v>430</v>
      </c>
      <c r="L292" s="1"/>
    </row>
    <row r="293" spans="4:12" x14ac:dyDescent="0.25">
      <c r="D293" s="64"/>
      <c r="E293" s="1"/>
      <c r="F293" s="24"/>
      <c r="G293" s="64"/>
      <c r="H293" s="1"/>
      <c r="I293" s="1"/>
      <c r="K293" s="48" t="s">
        <v>430</v>
      </c>
      <c r="L293" s="1"/>
    </row>
    <row r="294" spans="4:12" x14ac:dyDescent="0.25">
      <c r="D294" s="64"/>
      <c r="E294" s="1"/>
      <c r="F294" s="24"/>
      <c r="G294" s="64"/>
      <c r="H294" s="1"/>
      <c r="I294" s="1"/>
      <c r="K294" s="48" t="s">
        <v>430</v>
      </c>
      <c r="L294" s="1"/>
    </row>
    <row r="295" spans="4:12" x14ac:dyDescent="0.25">
      <c r="D295" s="64"/>
      <c r="E295" s="1"/>
      <c r="F295" s="24"/>
      <c r="G295" s="64"/>
      <c r="H295" s="1"/>
      <c r="I295" s="1"/>
      <c r="K295" s="48" t="s">
        <v>430</v>
      </c>
      <c r="L295" s="1"/>
    </row>
    <row r="296" spans="4:12" x14ac:dyDescent="0.25">
      <c r="D296" s="64"/>
      <c r="E296" s="1"/>
      <c r="F296" s="24"/>
      <c r="G296" s="64"/>
      <c r="H296" s="1"/>
      <c r="I296" s="1"/>
      <c r="K296" s="48" t="s">
        <v>430</v>
      </c>
      <c r="L296" s="1"/>
    </row>
    <row r="297" spans="4:12" x14ac:dyDescent="0.25">
      <c r="D297" s="64"/>
      <c r="E297" s="1"/>
      <c r="F297" s="24"/>
      <c r="G297" s="64"/>
      <c r="H297" s="1"/>
      <c r="I297" s="1"/>
      <c r="K297" s="48" t="s">
        <v>430</v>
      </c>
      <c r="L297" s="1"/>
    </row>
    <row r="298" spans="4:12" x14ac:dyDescent="0.25">
      <c r="D298" s="64"/>
      <c r="E298" s="1"/>
      <c r="F298" s="24"/>
      <c r="G298" s="64"/>
      <c r="H298" s="1"/>
      <c r="I298" s="1"/>
      <c r="K298" s="48" t="s">
        <v>430</v>
      </c>
      <c r="L298" s="1"/>
    </row>
    <row r="299" spans="4:12" x14ac:dyDescent="0.25">
      <c r="D299" s="64"/>
      <c r="E299" s="1"/>
      <c r="F299" s="24"/>
      <c r="G299" s="64"/>
      <c r="H299" s="1"/>
      <c r="I299" s="1"/>
      <c r="K299" s="48" t="s">
        <v>430</v>
      </c>
      <c r="L299" s="1"/>
    </row>
    <row r="300" spans="4:12" x14ac:dyDescent="0.25">
      <c r="D300" s="64"/>
      <c r="E300" s="1"/>
      <c r="F300" s="24"/>
      <c r="G300" s="64"/>
      <c r="H300" s="1"/>
      <c r="I300" s="1"/>
      <c r="K300" s="48" t="s">
        <v>430</v>
      </c>
      <c r="L300" s="1"/>
    </row>
    <row r="301" spans="4:12" x14ac:dyDescent="0.25">
      <c r="D301" s="64"/>
      <c r="E301" s="1"/>
      <c r="F301" s="24"/>
      <c r="G301" s="64"/>
      <c r="H301" s="1"/>
      <c r="I301" s="1"/>
      <c r="K301" s="48" t="s">
        <v>430</v>
      </c>
      <c r="L301" s="1"/>
    </row>
    <row r="302" spans="4:12" x14ac:dyDescent="0.25">
      <c r="D302" s="64"/>
      <c r="E302" s="1"/>
      <c r="F302" s="24"/>
      <c r="G302" s="64"/>
      <c r="H302" s="1"/>
      <c r="I302" s="1"/>
      <c r="K302" s="48" t="s">
        <v>430</v>
      </c>
      <c r="L302" s="1"/>
    </row>
    <row r="303" spans="4:12" x14ac:dyDescent="0.25">
      <c r="D303" s="64"/>
      <c r="E303" s="1"/>
      <c r="F303" s="24"/>
      <c r="G303" s="64"/>
      <c r="H303" s="1"/>
      <c r="I303" s="1"/>
      <c r="K303" s="48" t="s">
        <v>430</v>
      </c>
      <c r="L303" s="1"/>
    </row>
    <row r="304" spans="4:12" x14ac:dyDescent="0.25">
      <c r="D304" s="64"/>
      <c r="E304" s="1"/>
      <c r="F304" s="24"/>
      <c r="G304" s="64"/>
      <c r="H304" s="1"/>
      <c r="I304" s="1"/>
      <c r="K304" s="48" t="s">
        <v>430</v>
      </c>
      <c r="L304" s="1"/>
    </row>
    <row r="305" spans="4:12" x14ac:dyDescent="0.25">
      <c r="D305" s="64"/>
      <c r="E305" s="1"/>
      <c r="F305" s="24"/>
      <c r="G305" s="64"/>
      <c r="H305" s="1"/>
      <c r="I305" s="1"/>
      <c r="K305" s="48" t="s">
        <v>430</v>
      </c>
      <c r="L305" s="1"/>
    </row>
    <row r="306" spans="4:12" x14ac:dyDescent="0.25">
      <c r="D306" s="64"/>
      <c r="E306" s="1"/>
      <c r="F306" s="24"/>
      <c r="G306" s="64"/>
      <c r="H306" s="1"/>
      <c r="I306" s="1"/>
      <c r="K306" s="48" t="s">
        <v>430</v>
      </c>
      <c r="L306" s="1"/>
    </row>
    <row r="307" spans="4:12" x14ac:dyDescent="0.25">
      <c r="D307" s="64"/>
      <c r="E307" s="1"/>
      <c r="F307" s="24"/>
      <c r="G307" s="64"/>
      <c r="H307" s="1"/>
      <c r="I307" s="1"/>
      <c r="K307" s="48" t="s">
        <v>430</v>
      </c>
      <c r="L307" s="1"/>
    </row>
    <row r="308" spans="4:12" x14ac:dyDescent="0.25">
      <c r="D308" s="64"/>
      <c r="E308" s="1"/>
      <c r="F308" s="24"/>
      <c r="G308" s="64"/>
      <c r="H308" s="1"/>
      <c r="I308" s="1"/>
      <c r="K308" s="48" t="s">
        <v>430</v>
      </c>
      <c r="L308" s="1"/>
    </row>
    <row r="309" spans="4:12" x14ac:dyDescent="0.25">
      <c r="D309" s="64"/>
      <c r="E309" s="1"/>
      <c r="F309" s="24"/>
      <c r="G309" s="64"/>
      <c r="H309" s="1"/>
      <c r="I309" s="1"/>
      <c r="K309" s="48" t="s">
        <v>430</v>
      </c>
      <c r="L309" s="1"/>
    </row>
    <row r="310" spans="4:12" x14ac:dyDescent="0.25">
      <c r="D310" s="64"/>
      <c r="E310" s="1"/>
      <c r="F310" s="24"/>
      <c r="G310" s="64"/>
      <c r="H310" s="1"/>
      <c r="I310" s="1"/>
      <c r="K310" s="48" t="s">
        <v>430</v>
      </c>
      <c r="L310" s="1"/>
    </row>
    <row r="311" spans="4:12" x14ac:dyDescent="0.25">
      <c r="D311" s="64"/>
      <c r="E311" s="1"/>
      <c r="F311" s="24"/>
      <c r="G311" s="64"/>
      <c r="H311" s="1"/>
      <c r="I311" s="1"/>
      <c r="K311" s="48" t="s">
        <v>430</v>
      </c>
      <c r="L311" s="1"/>
    </row>
    <row r="312" spans="4:12" x14ac:dyDescent="0.25">
      <c r="D312" s="64"/>
      <c r="E312" s="1"/>
      <c r="F312" s="24"/>
      <c r="G312" s="64"/>
      <c r="H312" s="1"/>
      <c r="I312" s="1"/>
      <c r="K312" s="48" t="s">
        <v>430</v>
      </c>
      <c r="L312" s="1"/>
    </row>
    <row r="313" spans="4:12" x14ac:dyDescent="0.25">
      <c r="D313" s="64"/>
      <c r="E313" s="1"/>
      <c r="F313" s="24"/>
      <c r="G313" s="64"/>
      <c r="H313" s="1"/>
      <c r="I313" s="1"/>
      <c r="K313" s="48" t="s">
        <v>430</v>
      </c>
      <c r="L313" s="1"/>
    </row>
    <row r="314" spans="4:12" x14ac:dyDescent="0.25">
      <c r="D314" s="64"/>
      <c r="E314" s="1"/>
      <c r="F314" s="24"/>
      <c r="G314" s="64"/>
      <c r="H314" s="1"/>
      <c r="I314" s="1"/>
      <c r="K314" s="48" t="s">
        <v>430</v>
      </c>
      <c r="L314" s="1"/>
    </row>
    <row r="315" spans="4:12" x14ac:dyDescent="0.25">
      <c r="D315" s="64"/>
      <c r="E315" s="1"/>
      <c r="F315" s="24"/>
      <c r="G315" s="64"/>
      <c r="H315" s="1"/>
      <c r="I315" s="1"/>
      <c r="K315" s="48" t="s">
        <v>430</v>
      </c>
      <c r="L315" s="1"/>
    </row>
    <row r="316" spans="4:12" x14ac:dyDescent="0.25">
      <c r="D316" s="64"/>
      <c r="E316" s="1"/>
      <c r="F316" s="24"/>
      <c r="G316" s="64"/>
      <c r="H316" s="1"/>
      <c r="I316" s="1"/>
      <c r="K316" s="48" t="s">
        <v>430</v>
      </c>
      <c r="L316" s="1"/>
    </row>
    <row r="317" spans="4:12" x14ac:dyDescent="0.25">
      <c r="D317" s="64"/>
      <c r="E317" s="1"/>
      <c r="F317" s="24"/>
      <c r="G317" s="64"/>
      <c r="H317" s="1"/>
      <c r="I317" s="1"/>
      <c r="K317" s="48" t="s">
        <v>430</v>
      </c>
      <c r="L317" s="1"/>
    </row>
    <row r="318" spans="4:12" x14ac:dyDescent="0.25">
      <c r="D318" s="64"/>
      <c r="E318" s="1"/>
      <c r="F318" s="24"/>
      <c r="G318" s="64"/>
      <c r="H318" s="1"/>
      <c r="I318" s="1"/>
      <c r="K318" s="48" t="s">
        <v>430</v>
      </c>
      <c r="L318" s="1"/>
    </row>
    <row r="319" spans="4:12" x14ac:dyDescent="0.25">
      <c r="D319" s="64"/>
      <c r="E319" s="1"/>
      <c r="F319" s="24"/>
      <c r="G319" s="64"/>
      <c r="H319" s="1"/>
      <c r="I319" s="1"/>
      <c r="K319" s="48" t="s">
        <v>430</v>
      </c>
      <c r="L319" s="1"/>
    </row>
    <row r="320" spans="4:12" x14ac:dyDescent="0.25">
      <c r="D320" s="64"/>
      <c r="E320" s="1"/>
      <c r="F320" s="24"/>
      <c r="G320" s="64"/>
      <c r="H320" s="1"/>
      <c r="I320" s="1"/>
      <c r="K320" s="48" t="s">
        <v>430</v>
      </c>
      <c r="L320" s="1"/>
    </row>
    <row r="321" spans="4:12" x14ac:dyDescent="0.25">
      <c r="D321" s="64"/>
      <c r="E321" s="1"/>
      <c r="F321" s="24"/>
      <c r="G321" s="64"/>
      <c r="H321" s="1"/>
      <c r="I321" s="1"/>
      <c r="K321" s="48" t="s">
        <v>430</v>
      </c>
      <c r="L321" s="1"/>
    </row>
    <row r="322" spans="4:12" x14ac:dyDescent="0.25">
      <c r="D322" s="64"/>
      <c r="E322" s="1"/>
      <c r="F322" s="24"/>
      <c r="G322" s="64"/>
      <c r="H322" s="1"/>
      <c r="I322" s="1"/>
      <c r="K322" s="48" t="s">
        <v>430</v>
      </c>
      <c r="L322" s="1"/>
    </row>
    <row r="323" spans="4:12" x14ac:dyDescent="0.25">
      <c r="D323" s="64"/>
      <c r="E323" s="1"/>
      <c r="F323" s="24"/>
      <c r="G323" s="64"/>
      <c r="H323" s="1"/>
      <c r="I323" s="1"/>
      <c r="K323" s="48" t="s">
        <v>430</v>
      </c>
      <c r="L323" s="1"/>
    </row>
  </sheetData>
  <phoneticPr fontId="3" type="noConversion"/>
  <dataValidations count="2">
    <dataValidation type="list" allowBlank="1" showInputMessage="1" showErrorMessage="1" sqref="H6:H1048576" xr:uid="{BDBC1961-823D-465B-97D4-1A272D92EDD1}">
      <formula1>"مركز الماسة , مركز ايار , مركز الحمادي , مركز اياب , عيادة نسيم الصحة, مركز المجد"</formula1>
    </dataValidation>
    <dataValidation type="list" allowBlank="1" showInputMessage="1" showErrorMessage="1" sqref="C6:C1048576" xr:uid="{181ACE76-36BC-4724-85AF-C8BF5DF0B92E}">
      <formula1>"ابو بكر الشريف , احمد ابو غراره , الاء سالم , ايمن , رانيا شنيب , ابتسام , ميلاد , علي الغناي , سلسبيل بوكتف , نورس العامري , عبد الرحمن الحمروني , احمد ابو خريص"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K62"/>
  <sheetViews>
    <sheetView rightToLeft="1" zoomScale="90" zoomScaleNormal="90" workbookViewId="0">
      <selection activeCell="K41" sqref="K41:K51"/>
    </sheetView>
  </sheetViews>
  <sheetFormatPr defaultRowHeight="15" x14ac:dyDescent="0.25"/>
  <cols>
    <col min="1" max="1" width="11.140625" style="1" customWidth="1"/>
    <col min="2" max="2" width="30.5703125" style="1" customWidth="1"/>
    <col min="3" max="3" width="20.42578125" style="1" customWidth="1"/>
    <col min="4" max="4" width="10.140625" style="1" customWidth="1"/>
    <col min="5" max="5" width="25.85546875" style="1" customWidth="1"/>
    <col min="6" max="6" width="23.140625" style="1" customWidth="1"/>
    <col min="7" max="7" width="16.28515625" customWidth="1"/>
    <col min="8" max="8" width="33.85546875" customWidth="1"/>
    <col min="9" max="9" width="26.28515625" style="15" customWidth="1"/>
    <col min="10" max="10" width="17.5703125" customWidth="1"/>
  </cols>
  <sheetData>
    <row r="5" spans="1:11" ht="35.450000000000003" customHeight="1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1" t="s">
        <v>8</v>
      </c>
      <c r="J5" s="1" t="s">
        <v>9</v>
      </c>
    </row>
    <row r="6" spans="1:11" ht="25.15" customHeight="1" x14ac:dyDescent="0.25">
      <c r="A6" s="1">
        <v>101</v>
      </c>
      <c r="B6" s="1" t="s">
        <v>84</v>
      </c>
      <c r="C6" s="1" t="s">
        <v>50</v>
      </c>
      <c r="D6" s="1" t="s">
        <v>13</v>
      </c>
      <c r="E6" s="1" t="s">
        <v>85</v>
      </c>
      <c r="F6" s="2" t="s">
        <v>86</v>
      </c>
      <c r="G6" s="1">
        <v>1</v>
      </c>
      <c r="H6" s="1" t="s">
        <v>87</v>
      </c>
      <c r="I6" s="12" t="s">
        <v>88</v>
      </c>
      <c r="J6" s="3">
        <v>0</v>
      </c>
      <c r="K6" s="83" t="s">
        <v>89</v>
      </c>
    </row>
    <row r="7" spans="1:11" ht="25.15" customHeight="1" x14ac:dyDescent="0.25">
      <c r="A7" s="1">
        <v>102</v>
      </c>
      <c r="B7" s="1" t="s">
        <v>90</v>
      </c>
      <c r="C7" s="1" t="s">
        <v>50</v>
      </c>
      <c r="D7" s="1" t="s">
        <v>13</v>
      </c>
      <c r="E7" s="1" t="s">
        <v>91</v>
      </c>
      <c r="F7" s="1" t="s">
        <v>92</v>
      </c>
      <c r="G7" s="1"/>
      <c r="H7" s="1"/>
      <c r="I7" s="12" t="s">
        <v>93</v>
      </c>
      <c r="J7" s="4">
        <v>80</v>
      </c>
      <c r="K7" s="83"/>
    </row>
    <row r="8" spans="1:11" ht="25.15" customHeight="1" x14ac:dyDescent="0.25">
      <c r="A8" s="1">
        <v>103</v>
      </c>
      <c r="B8" s="1" t="s">
        <v>94</v>
      </c>
      <c r="C8" s="1" t="s">
        <v>95</v>
      </c>
      <c r="D8" s="1" t="s">
        <v>13</v>
      </c>
      <c r="E8" s="1" t="s">
        <v>14</v>
      </c>
      <c r="F8" s="2" t="s">
        <v>96</v>
      </c>
      <c r="G8" s="1">
        <v>6</v>
      </c>
      <c r="H8" s="1" t="s">
        <v>97</v>
      </c>
      <c r="I8" s="12" t="s">
        <v>98</v>
      </c>
      <c r="J8" s="3">
        <v>0</v>
      </c>
      <c r="K8" s="83"/>
    </row>
    <row r="9" spans="1:11" ht="25.15" customHeight="1" x14ac:dyDescent="0.25">
      <c r="A9" s="1">
        <v>104</v>
      </c>
      <c r="B9" s="1" t="s">
        <v>99</v>
      </c>
      <c r="C9" s="1" t="s">
        <v>95</v>
      </c>
      <c r="D9" s="1" t="s">
        <v>13</v>
      </c>
      <c r="E9" s="1" t="s">
        <v>14</v>
      </c>
      <c r="F9" s="2" t="s">
        <v>100</v>
      </c>
      <c r="G9" s="1">
        <v>2</v>
      </c>
      <c r="H9" s="1"/>
      <c r="I9" s="12" t="s">
        <v>88</v>
      </c>
      <c r="J9" s="4">
        <v>280</v>
      </c>
      <c r="K9" s="83"/>
    </row>
    <row r="10" spans="1:11" ht="25.15" customHeight="1" x14ac:dyDescent="0.25">
      <c r="A10" s="1">
        <v>105</v>
      </c>
      <c r="B10" s="1" t="s">
        <v>101</v>
      </c>
      <c r="C10" s="1" t="s">
        <v>95</v>
      </c>
      <c r="D10" s="1" t="s">
        <v>13</v>
      </c>
      <c r="E10" s="1" t="s">
        <v>14</v>
      </c>
      <c r="F10" s="1" t="s">
        <v>102</v>
      </c>
      <c r="G10" s="1">
        <v>4</v>
      </c>
      <c r="H10" s="1"/>
      <c r="I10" s="12" t="s">
        <v>103</v>
      </c>
      <c r="J10" s="4">
        <v>560</v>
      </c>
      <c r="K10" s="83"/>
    </row>
    <row r="11" spans="1:11" ht="25.15" customHeight="1" x14ac:dyDescent="0.25">
      <c r="A11" s="1">
        <v>106</v>
      </c>
      <c r="B11" s="1" t="s">
        <v>104</v>
      </c>
      <c r="C11" s="1" t="s">
        <v>95</v>
      </c>
      <c r="D11" s="1" t="s">
        <v>13</v>
      </c>
      <c r="E11" s="1" t="s">
        <v>14</v>
      </c>
      <c r="F11" s="1" t="s">
        <v>105</v>
      </c>
      <c r="G11" s="1">
        <v>8</v>
      </c>
      <c r="H11" s="1"/>
      <c r="I11" s="12" t="s">
        <v>106</v>
      </c>
      <c r="J11" s="4">
        <v>1260</v>
      </c>
      <c r="K11" s="83"/>
    </row>
    <row r="12" spans="1:11" ht="25.15" customHeight="1" x14ac:dyDescent="0.25">
      <c r="A12" s="1">
        <v>107</v>
      </c>
      <c r="B12" s="1" t="s">
        <v>107</v>
      </c>
      <c r="C12" s="1" t="s">
        <v>95</v>
      </c>
      <c r="D12" s="1" t="s">
        <v>13</v>
      </c>
      <c r="E12" s="1" t="s">
        <v>14</v>
      </c>
      <c r="F12" s="1" t="s">
        <v>108</v>
      </c>
      <c r="G12" s="1">
        <v>3</v>
      </c>
      <c r="H12" s="1"/>
      <c r="I12" s="12" t="s">
        <v>109</v>
      </c>
      <c r="J12" s="5">
        <v>420</v>
      </c>
      <c r="K12" s="83"/>
    </row>
    <row r="13" spans="1:11" ht="25.15" customHeight="1" x14ac:dyDescent="0.25">
      <c r="A13" s="1">
        <v>108</v>
      </c>
      <c r="B13" s="1" t="s">
        <v>110</v>
      </c>
      <c r="C13" s="1" t="s">
        <v>95</v>
      </c>
      <c r="D13" s="1" t="s">
        <v>13</v>
      </c>
      <c r="E13" s="1" t="s">
        <v>14</v>
      </c>
      <c r="F13" s="1" t="s">
        <v>111</v>
      </c>
      <c r="G13" s="1">
        <v>3</v>
      </c>
      <c r="H13" s="1"/>
      <c r="I13" s="12" t="s">
        <v>112</v>
      </c>
      <c r="J13" s="4">
        <v>420</v>
      </c>
      <c r="K13" s="83"/>
    </row>
    <row r="14" spans="1:11" ht="79.900000000000006" customHeight="1" thickBot="1" x14ac:dyDescent="0.3">
      <c r="A14" s="6">
        <v>109</v>
      </c>
      <c r="B14" s="6" t="s">
        <v>113</v>
      </c>
      <c r="C14" s="6" t="s">
        <v>114</v>
      </c>
      <c r="D14" s="6" t="s">
        <v>115</v>
      </c>
      <c r="E14" s="7" t="s">
        <v>116</v>
      </c>
      <c r="F14" s="6" t="s">
        <v>117</v>
      </c>
      <c r="G14" s="6">
        <v>4</v>
      </c>
      <c r="H14" s="6"/>
      <c r="I14" s="13" t="s">
        <v>118</v>
      </c>
      <c r="J14" s="8">
        <v>1400</v>
      </c>
      <c r="K14" s="84"/>
    </row>
    <row r="15" spans="1:11" ht="7.9" customHeight="1" thickTop="1" x14ac:dyDescent="0.25">
      <c r="A15" s="9"/>
      <c r="B15" s="9"/>
      <c r="C15" s="9"/>
      <c r="D15" s="9"/>
      <c r="E15" s="9"/>
      <c r="F15" s="9"/>
      <c r="G15" s="9"/>
      <c r="H15" s="9"/>
      <c r="I15" s="14"/>
      <c r="J15" s="9"/>
      <c r="K15" s="10"/>
    </row>
    <row r="16" spans="1:11" ht="30" customHeight="1" x14ac:dyDescent="0.25">
      <c r="A16" s="1">
        <v>110</v>
      </c>
      <c r="B16" s="1" t="s">
        <v>119</v>
      </c>
      <c r="C16" s="1" t="s">
        <v>120</v>
      </c>
      <c r="D16" s="1" t="s">
        <v>13</v>
      </c>
      <c r="E16" s="1" t="s">
        <v>14</v>
      </c>
      <c r="F16" s="1" t="s">
        <v>57</v>
      </c>
      <c r="G16" s="1">
        <v>1</v>
      </c>
      <c r="H16" s="1"/>
      <c r="I16" s="11" t="s">
        <v>121</v>
      </c>
      <c r="J16" s="1"/>
      <c r="K16" s="85" t="s">
        <v>122</v>
      </c>
    </row>
    <row r="17" spans="1:11" ht="30" customHeight="1" x14ac:dyDescent="0.25">
      <c r="A17" s="1">
        <v>11</v>
      </c>
      <c r="B17" s="1" t="s">
        <v>123</v>
      </c>
      <c r="C17" s="1" t="s">
        <v>120</v>
      </c>
      <c r="D17" s="1" t="s">
        <v>13</v>
      </c>
      <c r="E17" s="1" t="s">
        <v>14</v>
      </c>
      <c r="F17" s="1" t="s">
        <v>51</v>
      </c>
      <c r="G17" s="1">
        <v>1</v>
      </c>
      <c r="H17" s="1"/>
      <c r="I17" s="11" t="s">
        <v>124</v>
      </c>
      <c r="J17" s="1"/>
      <c r="K17" s="86"/>
    </row>
    <row r="18" spans="1:11" ht="30" customHeight="1" x14ac:dyDescent="0.25">
      <c r="A18" s="1">
        <v>112</v>
      </c>
      <c r="B18" s="1" t="s">
        <v>125</v>
      </c>
      <c r="C18" s="1" t="s">
        <v>120</v>
      </c>
      <c r="D18" s="1" t="s">
        <v>13</v>
      </c>
      <c r="E18" s="1" t="s">
        <v>14</v>
      </c>
      <c r="F18" s="1" t="s">
        <v>126</v>
      </c>
      <c r="G18" s="1">
        <v>1</v>
      </c>
      <c r="H18" s="1"/>
      <c r="I18" s="11" t="s">
        <v>127</v>
      </c>
      <c r="J18" s="1"/>
      <c r="K18" s="86"/>
    </row>
    <row r="19" spans="1:11" ht="30" customHeight="1" x14ac:dyDescent="0.25">
      <c r="A19" s="1">
        <v>113</v>
      </c>
      <c r="B19" s="1" t="s">
        <v>128</v>
      </c>
      <c r="C19" s="1" t="s">
        <v>120</v>
      </c>
      <c r="D19" s="1" t="s">
        <v>13</v>
      </c>
      <c r="E19" s="1" t="s">
        <v>14</v>
      </c>
      <c r="F19" s="1" t="s">
        <v>129</v>
      </c>
      <c r="G19" s="1">
        <v>3</v>
      </c>
      <c r="H19" s="1"/>
      <c r="I19" s="11" t="s">
        <v>130</v>
      </c>
      <c r="J19" s="1"/>
      <c r="K19" s="86"/>
    </row>
    <row r="20" spans="1:11" ht="30" customHeight="1" x14ac:dyDescent="0.25">
      <c r="A20" s="1">
        <v>114</v>
      </c>
      <c r="B20" s="1" t="s">
        <v>131</v>
      </c>
      <c r="C20" s="1" t="s">
        <v>132</v>
      </c>
      <c r="D20" s="1" t="s">
        <v>13</v>
      </c>
      <c r="E20" s="1" t="s">
        <v>133</v>
      </c>
      <c r="F20" s="2" t="s">
        <v>134</v>
      </c>
      <c r="G20" s="1">
        <v>2</v>
      </c>
      <c r="H20" s="16" t="s">
        <v>135</v>
      </c>
      <c r="I20" s="11" t="s">
        <v>136</v>
      </c>
      <c r="J20" s="1"/>
      <c r="K20" s="86"/>
    </row>
    <row r="21" spans="1:11" ht="30" customHeight="1" x14ac:dyDescent="0.25">
      <c r="A21" s="1">
        <v>115</v>
      </c>
      <c r="B21" s="1" t="s">
        <v>137</v>
      </c>
      <c r="C21" s="1" t="s">
        <v>132</v>
      </c>
      <c r="D21" s="1" t="s">
        <v>13</v>
      </c>
      <c r="E21" s="1" t="s">
        <v>133</v>
      </c>
      <c r="F21" s="1" t="s">
        <v>138</v>
      </c>
      <c r="G21" s="1">
        <v>3</v>
      </c>
      <c r="H21" s="1" t="s">
        <v>139</v>
      </c>
      <c r="I21" s="11" t="s">
        <v>140</v>
      </c>
      <c r="J21" s="1"/>
      <c r="K21" s="86"/>
    </row>
    <row r="22" spans="1:11" ht="30" customHeight="1" x14ac:dyDescent="0.25">
      <c r="A22" s="1">
        <v>116</v>
      </c>
      <c r="B22" s="1" t="s">
        <v>141</v>
      </c>
      <c r="C22" s="1" t="s">
        <v>120</v>
      </c>
      <c r="D22" s="1" t="s">
        <v>13</v>
      </c>
      <c r="E22" s="1" t="s">
        <v>14</v>
      </c>
      <c r="F22" s="1" t="s">
        <v>142</v>
      </c>
      <c r="G22" s="1">
        <v>1</v>
      </c>
      <c r="H22" s="1"/>
      <c r="I22" s="11" t="s">
        <v>143</v>
      </c>
      <c r="J22" s="1"/>
      <c r="K22" s="86"/>
    </row>
    <row r="23" spans="1:11" ht="30" customHeight="1" x14ac:dyDescent="0.25">
      <c r="A23" s="1">
        <v>117</v>
      </c>
      <c r="B23" s="1" t="s">
        <v>144</v>
      </c>
      <c r="C23" s="1" t="s">
        <v>120</v>
      </c>
      <c r="D23" s="1" t="s">
        <v>13</v>
      </c>
      <c r="E23" s="1" t="s">
        <v>14</v>
      </c>
      <c r="F23" s="1" t="s">
        <v>145</v>
      </c>
      <c r="G23" s="1">
        <v>1</v>
      </c>
      <c r="H23" s="1"/>
      <c r="I23" s="11" t="s">
        <v>146</v>
      </c>
      <c r="J23" s="1"/>
      <c r="K23" s="86"/>
    </row>
    <row r="24" spans="1:11" ht="25.15" customHeight="1" x14ac:dyDescent="0.25">
      <c r="A24" s="1">
        <v>118</v>
      </c>
      <c r="B24" s="1" t="s">
        <v>147</v>
      </c>
      <c r="C24" s="1" t="s">
        <v>120</v>
      </c>
      <c r="D24" s="1" t="s">
        <v>13</v>
      </c>
      <c r="E24" s="1" t="s">
        <v>14</v>
      </c>
      <c r="F24" s="2" t="s">
        <v>148</v>
      </c>
      <c r="G24" s="1">
        <v>3</v>
      </c>
      <c r="H24" s="1"/>
      <c r="I24" s="11" t="s">
        <v>146</v>
      </c>
      <c r="J24" s="1"/>
      <c r="K24" s="86"/>
    </row>
    <row r="25" spans="1:11" ht="30" customHeight="1" x14ac:dyDescent="0.25">
      <c r="A25" s="26">
        <v>119</v>
      </c>
      <c r="B25" s="26" t="s">
        <v>149</v>
      </c>
      <c r="C25" s="26" t="s">
        <v>120</v>
      </c>
      <c r="D25" s="26" t="s">
        <v>13</v>
      </c>
      <c r="E25" s="26" t="s">
        <v>85</v>
      </c>
      <c r="F25" s="27" t="s">
        <v>150</v>
      </c>
      <c r="G25" s="26">
        <v>6</v>
      </c>
      <c r="H25" s="30" t="s">
        <v>151</v>
      </c>
      <c r="I25" s="28" t="s">
        <v>152</v>
      </c>
      <c r="J25" s="29" t="s">
        <v>151</v>
      </c>
      <c r="K25" s="86"/>
    </row>
    <row r="26" spans="1:11" ht="30" customHeight="1" x14ac:dyDescent="0.25">
      <c r="A26" s="1">
        <v>120</v>
      </c>
      <c r="B26" s="1" t="s">
        <v>153</v>
      </c>
      <c r="C26" s="1" t="s">
        <v>132</v>
      </c>
      <c r="D26" s="1" t="s">
        <v>13</v>
      </c>
      <c r="E26" s="1" t="s">
        <v>14</v>
      </c>
      <c r="F26" s="2" t="s">
        <v>154</v>
      </c>
      <c r="G26" s="1">
        <v>3</v>
      </c>
      <c r="H26" s="1"/>
      <c r="I26" s="11" t="s">
        <v>155</v>
      </c>
      <c r="J26" s="1"/>
      <c r="K26" s="86"/>
    </row>
    <row r="27" spans="1:11" ht="59.25" customHeight="1" x14ac:dyDescent="0.25">
      <c r="A27" s="1">
        <v>121</v>
      </c>
      <c r="B27" s="1" t="s">
        <v>156</v>
      </c>
      <c r="C27" s="1" t="s">
        <v>132</v>
      </c>
      <c r="D27" s="1" t="s">
        <v>13</v>
      </c>
      <c r="E27" s="1" t="s">
        <v>133</v>
      </c>
      <c r="F27" s="2" t="s">
        <v>157</v>
      </c>
      <c r="G27" s="1">
        <v>3</v>
      </c>
      <c r="H27" s="16" t="s">
        <v>158</v>
      </c>
      <c r="I27" s="11" t="s">
        <v>159</v>
      </c>
      <c r="J27" s="1"/>
      <c r="K27" s="86"/>
    </row>
    <row r="28" spans="1:11" ht="30" customHeight="1" x14ac:dyDescent="0.25">
      <c r="A28" s="26">
        <v>122</v>
      </c>
      <c r="B28" s="26" t="s">
        <v>160</v>
      </c>
      <c r="C28" s="26" t="s">
        <v>120</v>
      </c>
      <c r="D28" s="26" t="s">
        <v>13</v>
      </c>
      <c r="E28" s="26" t="s">
        <v>14</v>
      </c>
      <c r="F28" s="26" t="s">
        <v>161</v>
      </c>
      <c r="G28" s="26">
        <v>1</v>
      </c>
      <c r="H28" s="26" t="s">
        <v>162</v>
      </c>
      <c r="I28" s="31" t="s">
        <v>163</v>
      </c>
      <c r="J28" s="26" t="s">
        <v>164</v>
      </c>
      <c r="K28" s="86"/>
    </row>
    <row r="29" spans="1:11" ht="30" customHeight="1" x14ac:dyDescent="0.25">
      <c r="A29" s="1">
        <v>123</v>
      </c>
      <c r="B29" s="1" t="s">
        <v>165</v>
      </c>
      <c r="C29" s="1" t="s">
        <v>120</v>
      </c>
      <c r="D29" s="1" t="s">
        <v>13</v>
      </c>
      <c r="E29" s="1" t="s">
        <v>85</v>
      </c>
      <c r="F29" s="20" t="s">
        <v>166</v>
      </c>
      <c r="G29" s="1">
        <v>7</v>
      </c>
      <c r="H29" s="1"/>
      <c r="I29" s="11" t="s">
        <v>167</v>
      </c>
      <c r="J29" s="1"/>
      <c r="K29" s="86"/>
    </row>
    <row r="30" spans="1:11" ht="30" customHeight="1" x14ac:dyDescent="0.25">
      <c r="A30" s="17">
        <v>124</v>
      </c>
      <c r="B30" s="17" t="s">
        <v>168</v>
      </c>
      <c r="C30" s="17" t="s">
        <v>120</v>
      </c>
      <c r="D30" s="17" t="s">
        <v>13</v>
      </c>
      <c r="E30" s="21" t="s">
        <v>169</v>
      </c>
      <c r="F30" s="19" t="s">
        <v>170</v>
      </c>
      <c r="G30" s="17">
        <v>10</v>
      </c>
      <c r="H30" s="17" t="s">
        <v>171</v>
      </c>
      <c r="I30" s="18" t="s">
        <v>172</v>
      </c>
      <c r="J30" s="17" t="s">
        <v>164</v>
      </c>
      <c r="K30" s="86"/>
    </row>
    <row r="31" spans="1:11" ht="43.9" customHeight="1" x14ac:dyDescent="0.25">
      <c r="A31" s="1">
        <v>125</v>
      </c>
      <c r="B31" s="1" t="s">
        <v>156</v>
      </c>
      <c r="C31" s="1" t="s">
        <v>132</v>
      </c>
      <c r="D31" s="1" t="s">
        <v>13</v>
      </c>
      <c r="E31" s="16" t="s">
        <v>133</v>
      </c>
      <c r="F31" s="2" t="s">
        <v>173</v>
      </c>
      <c r="G31" s="1">
        <v>1</v>
      </c>
      <c r="H31" s="1"/>
      <c r="I31" s="11" t="s">
        <v>174</v>
      </c>
      <c r="J31" s="1"/>
      <c r="K31" s="86"/>
    </row>
    <row r="32" spans="1:11" ht="30" customHeight="1" thickBot="1" x14ac:dyDescent="0.3">
      <c r="A32" s="6">
        <v>126</v>
      </c>
      <c r="B32" s="6" t="s">
        <v>175</v>
      </c>
      <c r="C32" s="6" t="s">
        <v>36</v>
      </c>
      <c r="D32" s="6" t="s">
        <v>13</v>
      </c>
      <c r="E32" s="6" t="s">
        <v>14</v>
      </c>
      <c r="F32" s="6" t="s">
        <v>176</v>
      </c>
      <c r="G32" s="6">
        <v>1</v>
      </c>
      <c r="H32" s="6"/>
      <c r="I32" s="22" t="s">
        <v>177</v>
      </c>
      <c r="J32" s="6"/>
      <c r="K32" s="86"/>
    </row>
    <row r="33" spans="1:11" ht="9.6" customHeight="1" thickTop="1" x14ac:dyDescent="0.25">
      <c r="A33" s="9"/>
      <c r="B33" s="9"/>
      <c r="C33" s="9"/>
      <c r="D33" s="9"/>
      <c r="E33" s="9"/>
      <c r="F33" s="9"/>
      <c r="G33" s="9"/>
      <c r="H33" s="9"/>
      <c r="I33" s="14"/>
      <c r="J33" s="9"/>
      <c r="K33" s="23"/>
    </row>
    <row r="34" spans="1:11" ht="30" customHeight="1" x14ac:dyDescent="0.25">
      <c r="A34" s="1">
        <v>127</v>
      </c>
      <c r="B34" s="1" t="s">
        <v>178</v>
      </c>
      <c r="C34" s="1" t="s">
        <v>179</v>
      </c>
      <c r="D34" s="1" t="s">
        <v>13</v>
      </c>
      <c r="E34" s="1" t="s">
        <v>14</v>
      </c>
      <c r="F34" s="1" t="s">
        <v>180</v>
      </c>
      <c r="G34" s="1">
        <v>3</v>
      </c>
      <c r="H34" s="1"/>
      <c r="I34" s="11" t="s">
        <v>181</v>
      </c>
      <c r="J34" s="1"/>
      <c r="K34" s="87" t="s">
        <v>182</v>
      </c>
    </row>
    <row r="35" spans="1:11" ht="30" customHeight="1" x14ac:dyDescent="0.25">
      <c r="A35" s="1">
        <v>128</v>
      </c>
      <c r="B35" s="1" t="s">
        <v>183</v>
      </c>
      <c r="C35" s="1" t="s">
        <v>36</v>
      </c>
      <c r="D35" s="1" t="s">
        <v>13</v>
      </c>
      <c r="E35" s="1" t="s">
        <v>85</v>
      </c>
      <c r="F35" s="1" t="s">
        <v>184</v>
      </c>
      <c r="G35" s="1">
        <v>3</v>
      </c>
      <c r="H35" s="1"/>
      <c r="I35" s="11" t="s">
        <v>185</v>
      </c>
      <c r="J35" s="1"/>
      <c r="K35" s="87"/>
    </row>
    <row r="36" spans="1:11" ht="30" customHeight="1" x14ac:dyDescent="0.25">
      <c r="A36" s="1">
        <v>129</v>
      </c>
      <c r="B36" s="1" t="s">
        <v>149</v>
      </c>
      <c r="C36" s="1" t="s">
        <v>120</v>
      </c>
      <c r="D36" s="1" t="s">
        <v>13</v>
      </c>
      <c r="E36" s="16" t="s">
        <v>186</v>
      </c>
      <c r="F36" s="1" t="s">
        <v>187</v>
      </c>
      <c r="G36" s="1">
        <v>5</v>
      </c>
      <c r="H36" s="1"/>
      <c r="I36" s="11" t="s">
        <v>188</v>
      </c>
      <c r="J36" s="1"/>
      <c r="K36" s="87"/>
    </row>
    <row r="37" spans="1:11" ht="30" customHeight="1" x14ac:dyDescent="0.25">
      <c r="A37" s="1">
        <v>130</v>
      </c>
      <c r="B37" s="1" t="s">
        <v>189</v>
      </c>
      <c r="C37" s="1" t="s">
        <v>132</v>
      </c>
      <c r="D37" s="1" t="s">
        <v>13</v>
      </c>
      <c r="E37" s="1" t="s">
        <v>190</v>
      </c>
      <c r="F37" s="1" t="s">
        <v>191</v>
      </c>
      <c r="G37" s="1">
        <v>12</v>
      </c>
      <c r="H37" s="1"/>
      <c r="I37" s="11" t="s">
        <v>192</v>
      </c>
      <c r="J37" s="1"/>
      <c r="K37" s="87"/>
    </row>
    <row r="38" spans="1:11" ht="30" customHeight="1" x14ac:dyDescent="0.25">
      <c r="A38" s="1">
        <v>131</v>
      </c>
      <c r="B38" s="1" t="s">
        <v>193</v>
      </c>
      <c r="C38" s="1" t="s">
        <v>132</v>
      </c>
      <c r="D38" s="1" t="s">
        <v>13</v>
      </c>
      <c r="E38" s="1" t="s">
        <v>14</v>
      </c>
      <c r="F38" s="25" t="s">
        <v>194</v>
      </c>
      <c r="G38" s="1">
        <v>1</v>
      </c>
      <c r="H38" s="1" t="s">
        <v>195</v>
      </c>
      <c r="I38" s="11" t="s">
        <v>196</v>
      </c>
      <c r="J38" s="1"/>
      <c r="K38" s="87"/>
    </row>
    <row r="39" spans="1:11" ht="25.15" customHeight="1" x14ac:dyDescent="0.25">
      <c r="A39" s="1">
        <v>132</v>
      </c>
      <c r="B39" s="1" t="s">
        <v>197</v>
      </c>
      <c r="C39" s="1" t="s">
        <v>50</v>
      </c>
      <c r="D39" s="1" t="s">
        <v>13</v>
      </c>
      <c r="E39" s="1" t="s">
        <v>14</v>
      </c>
      <c r="F39" s="2" t="s">
        <v>198</v>
      </c>
      <c r="G39" s="1">
        <v>2</v>
      </c>
      <c r="H39" s="1"/>
      <c r="I39" s="11" t="s">
        <v>199</v>
      </c>
      <c r="J39" s="1"/>
      <c r="K39" s="87"/>
    </row>
    <row r="40" spans="1:11" ht="30" customHeight="1" thickBot="1" x14ac:dyDescent="0.3">
      <c r="A40" s="32">
        <v>133</v>
      </c>
      <c r="B40" s="32" t="s">
        <v>200</v>
      </c>
      <c r="C40" s="32" t="s">
        <v>36</v>
      </c>
      <c r="D40" s="32" t="s">
        <v>13</v>
      </c>
      <c r="E40" s="32" t="s">
        <v>14</v>
      </c>
      <c r="F40" s="33" t="s">
        <v>201</v>
      </c>
      <c r="G40" s="32">
        <v>1</v>
      </c>
      <c r="H40" s="32" t="s">
        <v>202</v>
      </c>
      <c r="I40" s="34" t="s">
        <v>203</v>
      </c>
      <c r="J40" s="32"/>
      <c r="K40" s="88"/>
    </row>
    <row r="41" spans="1:11" ht="24" customHeight="1" x14ac:dyDescent="0.25">
      <c r="A41" s="1">
        <v>134</v>
      </c>
      <c r="B41" s="1" t="s">
        <v>204</v>
      </c>
      <c r="C41" s="1" t="s">
        <v>36</v>
      </c>
      <c r="D41" s="1" t="s">
        <v>13</v>
      </c>
      <c r="E41" s="1" t="s">
        <v>14</v>
      </c>
      <c r="F41" s="1" t="s">
        <v>205</v>
      </c>
      <c r="G41" s="1">
        <v>2</v>
      </c>
      <c r="H41" s="1"/>
      <c r="I41" s="24" t="s">
        <v>206</v>
      </c>
      <c r="J41" s="1"/>
      <c r="K41" s="89" t="s">
        <v>207</v>
      </c>
    </row>
    <row r="42" spans="1:11" ht="24" customHeight="1" x14ac:dyDescent="0.25">
      <c r="A42" s="1">
        <v>135</v>
      </c>
      <c r="B42" s="1" t="s">
        <v>208</v>
      </c>
      <c r="C42" s="1" t="s">
        <v>36</v>
      </c>
      <c r="D42" s="1" t="s">
        <v>13</v>
      </c>
      <c r="E42" s="1" t="s">
        <v>14</v>
      </c>
      <c r="F42" s="1" t="s">
        <v>145</v>
      </c>
      <c r="G42" s="1">
        <v>1</v>
      </c>
      <c r="H42" s="1"/>
      <c r="I42" s="24" t="s">
        <v>206</v>
      </c>
      <c r="J42" s="1"/>
      <c r="K42" s="90"/>
    </row>
    <row r="43" spans="1:11" ht="24" customHeight="1" x14ac:dyDescent="0.25">
      <c r="A43" s="1">
        <v>136</v>
      </c>
      <c r="B43" s="1" t="s">
        <v>209</v>
      </c>
      <c r="C43" s="1" t="s">
        <v>50</v>
      </c>
      <c r="D43" s="1" t="s">
        <v>13</v>
      </c>
      <c r="E43" s="1" t="s">
        <v>14</v>
      </c>
      <c r="F43" s="2" t="s">
        <v>210</v>
      </c>
      <c r="G43" s="1">
        <v>1</v>
      </c>
      <c r="H43" s="1"/>
      <c r="I43" s="24" t="s">
        <v>211</v>
      </c>
      <c r="J43" s="1"/>
      <c r="K43" s="90"/>
    </row>
    <row r="44" spans="1:11" ht="24" customHeight="1" x14ac:dyDescent="0.25">
      <c r="A44" s="1">
        <v>137</v>
      </c>
      <c r="B44" s="1" t="s">
        <v>212</v>
      </c>
      <c r="C44" s="1" t="s">
        <v>36</v>
      </c>
      <c r="D44" s="1" t="s">
        <v>13</v>
      </c>
      <c r="E44" s="1" t="s">
        <v>213</v>
      </c>
      <c r="G44" s="1"/>
      <c r="H44" s="1"/>
      <c r="I44" s="24" t="s">
        <v>211</v>
      </c>
      <c r="J44" s="1"/>
      <c r="K44" s="90"/>
    </row>
    <row r="45" spans="1:11" ht="24" customHeight="1" x14ac:dyDescent="0.25">
      <c r="A45" s="1">
        <v>138</v>
      </c>
      <c r="B45" s="1" t="s">
        <v>214</v>
      </c>
      <c r="C45" s="1" t="s">
        <v>50</v>
      </c>
      <c r="D45" s="1" t="s">
        <v>13</v>
      </c>
      <c r="E45" s="1" t="s">
        <v>14</v>
      </c>
      <c r="F45" s="1" t="s">
        <v>215</v>
      </c>
      <c r="G45" s="1">
        <v>1</v>
      </c>
      <c r="H45" s="1"/>
      <c r="I45" s="24" t="s">
        <v>216</v>
      </c>
      <c r="J45" s="1"/>
      <c r="K45" s="90"/>
    </row>
    <row r="46" spans="1:11" ht="24" customHeight="1" x14ac:dyDescent="0.25">
      <c r="A46" s="1">
        <v>139</v>
      </c>
      <c r="B46" s="1" t="s">
        <v>217</v>
      </c>
      <c r="C46" s="1" t="s">
        <v>50</v>
      </c>
      <c r="D46" s="1" t="s">
        <v>13</v>
      </c>
      <c r="E46" s="1" t="s">
        <v>14</v>
      </c>
      <c r="F46" s="2" t="s">
        <v>218</v>
      </c>
      <c r="G46" s="1">
        <v>1</v>
      </c>
      <c r="H46" s="1"/>
      <c r="I46" s="24" t="s">
        <v>219</v>
      </c>
      <c r="J46" s="1"/>
      <c r="K46" s="90"/>
    </row>
    <row r="47" spans="1:11" ht="24" customHeight="1" x14ac:dyDescent="0.25">
      <c r="A47" s="1">
        <v>140</v>
      </c>
      <c r="B47" s="1" t="s">
        <v>220</v>
      </c>
      <c r="C47" s="1" t="s">
        <v>179</v>
      </c>
      <c r="D47" s="1" t="s">
        <v>13</v>
      </c>
      <c r="E47" s="1" t="s">
        <v>14</v>
      </c>
      <c r="F47" s="1" t="s">
        <v>221</v>
      </c>
      <c r="G47" s="1">
        <v>3</v>
      </c>
      <c r="H47" s="1"/>
      <c r="I47" s="24" t="s">
        <v>222</v>
      </c>
      <c r="J47" s="1"/>
      <c r="K47" s="90"/>
    </row>
    <row r="48" spans="1:11" ht="36.75" customHeight="1" x14ac:dyDescent="0.25">
      <c r="A48" s="1">
        <v>141</v>
      </c>
      <c r="B48" s="1" t="s">
        <v>223</v>
      </c>
      <c r="C48" s="1" t="s">
        <v>50</v>
      </c>
      <c r="D48" s="1" t="s">
        <v>13</v>
      </c>
      <c r="E48" s="1" t="s">
        <v>14</v>
      </c>
      <c r="F48" s="1" t="s">
        <v>224</v>
      </c>
      <c r="G48" s="1">
        <v>1</v>
      </c>
      <c r="H48" s="1"/>
      <c r="I48" s="11" t="s">
        <v>225</v>
      </c>
      <c r="J48" s="1"/>
      <c r="K48" s="90"/>
    </row>
    <row r="49" spans="1:11" ht="39.75" customHeight="1" x14ac:dyDescent="0.25">
      <c r="A49" s="1">
        <v>142</v>
      </c>
      <c r="B49" s="1" t="s">
        <v>226</v>
      </c>
      <c r="C49" s="1" t="s">
        <v>50</v>
      </c>
      <c r="D49" s="1" t="s">
        <v>13</v>
      </c>
      <c r="E49" s="1" t="s">
        <v>14</v>
      </c>
      <c r="F49" s="16" t="s">
        <v>227</v>
      </c>
      <c r="G49" s="1">
        <v>2</v>
      </c>
      <c r="H49" s="1"/>
      <c r="I49" s="11" t="s">
        <v>228</v>
      </c>
      <c r="J49" s="1"/>
      <c r="K49" s="90"/>
    </row>
    <row r="50" spans="1:11" ht="36" customHeight="1" x14ac:dyDescent="0.25">
      <c r="A50" s="1">
        <v>143</v>
      </c>
      <c r="B50" s="1" t="s">
        <v>229</v>
      </c>
      <c r="C50" s="1" t="s">
        <v>50</v>
      </c>
      <c r="D50" s="1" t="s">
        <v>13</v>
      </c>
      <c r="E50" s="1" t="s">
        <v>14</v>
      </c>
      <c r="F50" s="1" t="s">
        <v>230</v>
      </c>
      <c r="G50" s="1">
        <v>2</v>
      </c>
      <c r="H50" s="1"/>
      <c r="I50" s="11" t="s">
        <v>231</v>
      </c>
      <c r="J50" s="1"/>
      <c r="K50" s="90"/>
    </row>
    <row r="51" spans="1:11" ht="23.25" x14ac:dyDescent="0.25">
      <c r="A51" s="1">
        <v>144</v>
      </c>
      <c r="B51" s="1" t="s">
        <v>232</v>
      </c>
      <c r="C51" s="1" t="s">
        <v>12</v>
      </c>
      <c r="D51" s="1" t="s">
        <v>13</v>
      </c>
      <c r="E51" s="1" t="s">
        <v>14</v>
      </c>
      <c r="F51" s="35" t="s">
        <v>233</v>
      </c>
      <c r="G51" s="1">
        <v>3</v>
      </c>
      <c r="H51" s="1"/>
      <c r="I51" s="24" t="s">
        <v>234</v>
      </c>
      <c r="J51" s="1"/>
      <c r="K51" s="90"/>
    </row>
    <row r="52" spans="1:11" ht="21" x14ac:dyDescent="0.25">
      <c r="F52" s="36"/>
      <c r="G52" s="1"/>
      <c r="H52" s="1"/>
      <c r="I52" s="24"/>
      <c r="J52" s="1"/>
    </row>
    <row r="53" spans="1:11" ht="21" x14ac:dyDescent="0.25">
      <c r="F53" s="36"/>
      <c r="G53" s="1"/>
      <c r="H53" s="1"/>
      <c r="I53" s="24"/>
      <c r="J53" s="1"/>
    </row>
    <row r="54" spans="1:11" ht="21" x14ac:dyDescent="0.25">
      <c r="F54" s="36"/>
      <c r="G54" s="1"/>
      <c r="H54" s="1"/>
      <c r="I54" s="24"/>
      <c r="J54" s="1"/>
    </row>
    <row r="55" spans="1:11" ht="21" x14ac:dyDescent="0.25">
      <c r="F55" s="36"/>
      <c r="G55" s="1"/>
      <c r="H55" s="1"/>
      <c r="I55" s="24"/>
      <c r="J55" s="1"/>
    </row>
    <row r="56" spans="1:11" ht="18.75" x14ac:dyDescent="0.25">
      <c r="F56" s="37"/>
      <c r="G56" s="1"/>
      <c r="H56" s="39"/>
      <c r="I56" s="38"/>
      <c r="J56" s="1"/>
    </row>
    <row r="57" spans="1:11" x14ac:dyDescent="0.25">
      <c r="F57" s="40"/>
      <c r="G57" s="1"/>
      <c r="H57" s="1"/>
      <c r="I57" s="24"/>
      <c r="J57" s="1"/>
    </row>
    <row r="58" spans="1:11" ht="21" x14ac:dyDescent="0.25">
      <c r="F58" s="25"/>
      <c r="G58" s="1"/>
      <c r="H58" s="1"/>
      <c r="I58" s="24"/>
      <c r="J58" s="1"/>
    </row>
    <row r="59" spans="1:11" ht="18.600000000000001" customHeight="1" x14ac:dyDescent="0.25">
      <c r="G59" s="1"/>
      <c r="H59" s="1"/>
      <c r="I59" s="24"/>
      <c r="J59" s="1"/>
    </row>
    <row r="60" spans="1:11" ht="24" customHeight="1" x14ac:dyDescent="0.25">
      <c r="G60" s="1"/>
      <c r="H60" s="1"/>
      <c r="I60" s="24"/>
      <c r="J60" s="1"/>
    </row>
    <row r="61" spans="1:11" ht="24" customHeight="1" x14ac:dyDescent="0.25">
      <c r="G61" s="1"/>
      <c r="H61" s="1"/>
      <c r="I61" s="24"/>
      <c r="J61" s="1"/>
    </row>
    <row r="62" spans="1:11" ht="21" x14ac:dyDescent="0.25">
      <c r="F62" s="36"/>
      <c r="G62" s="1"/>
      <c r="H62" s="1"/>
      <c r="I62" s="24"/>
      <c r="J62" s="1"/>
    </row>
  </sheetData>
  <mergeCells count="4">
    <mergeCell ref="K6:K14"/>
    <mergeCell ref="K16:K32"/>
    <mergeCell ref="K34:K40"/>
    <mergeCell ref="K41:K51"/>
  </mergeCells>
  <phoneticPr fontId="3" type="noConversion"/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Prices</vt:lpstr>
      <vt:lpstr> 2026</vt:lpstr>
      <vt:lpstr>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d.lab dd</cp:lastModifiedBy>
  <cp:revision/>
  <dcterms:created xsi:type="dcterms:W3CDTF">2015-06-05T18:17:20Z</dcterms:created>
  <dcterms:modified xsi:type="dcterms:W3CDTF">2026-08-01T21:00:02Z</dcterms:modified>
  <cp:category/>
  <cp:contentStatus/>
</cp:coreProperties>
</file>